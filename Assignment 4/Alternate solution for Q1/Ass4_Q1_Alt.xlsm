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onty\OneDrive\Desktop\FALL 2018\CEE 598 Traffic Simulation Planning Modeling &amp; Application\ASSIGNMENT SUBMISSION\Assignment 4\Alternate solution for Q1\"/>
    </mc:Choice>
  </mc:AlternateContent>
  <xr:revisionPtr revIDLastSave="29" documentId="13_ncr:1_{FDB3BA77-BFC1-4A44-8C21-68AC3C0F21DD}" xr6:coauthVersionLast="38" xr6:coauthVersionMax="38" xr10:uidLastSave="{71BC0113-4CE7-46E7-9EDE-F029CE4EF303}"/>
  <bookViews>
    <workbookView xWindow="0" yWindow="0" windowWidth="15345" windowHeight="4410" xr2:uid="{5D96204E-5CF3-4F10-93A1-694C4F8C4F43}"/>
  </bookViews>
  <sheets>
    <sheet name="Sheet1" sheetId="2" r:id="rId1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V4" i="2" l="1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3" i="2"/>
  <c r="R3" i="2"/>
  <c r="Q3" i="2"/>
  <c r="P3" i="2"/>
  <c r="N3" i="2"/>
  <c r="M3" i="2"/>
  <c r="M4" i="2"/>
  <c r="K3" i="2" l="1"/>
  <c r="J3" i="2"/>
  <c r="I3" i="2"/>
  <c r="C53" i="2" l="1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J52" i="2"/>
  <c r="J53" i="2" s="1"/>
  <c r="J54" i="2" s="1"/>
  <c r="J55" i="2" s="1"/>
  <c r="J56" i="2" s="1"/>
  <c r="J57" i="2" s="1"/>
  <c r="J58" i="2" s="1"/>
  <c r="J59" i="2" s="1"/>
  <c r="J60" i="2" s="1"/>
  <c r="J61" i="2" s="1"/>
  <c r="J62" i="2" s="1"/>
  <c r="J63" i="2" s="1"/>
  <c r="J64" i="2" s="1"/>
  <c r="J65" i="2" s="1"/>
  <c r="J66" i="2" s="1"/>
  <c r="J67" i="2" s="1"/>
  <c r="J68" i="2" s="1"/>
  <c r="J69" i="2" s="1"/>
  <c r="J70" i="2" s="1"/>
  <c r="J71" i="2" s="1"/>
  <c r="J72" i="2" s="1"/>
  <c r="J73" i="2" s="1"/>
  <c r="J74" i="2" s="1"/>
  <c r="J75" i="2" s="1"/>
  <c r="J76" i="2" s="1"/>
  <c r="J77" i="2" s="1"/>
  <c r="J78" i="2" s="1"/>
  <c r="J79" i="2" s="1"/>
  <c r="J80" i="2" s="1"/>
  <c r="J81" i="2" s="1"/>
  <c r="J82" i="2" s="1"/>
  <c r="J83" i="2" s="1"/>
  <c r="J84" i="2" s="1"/>
  <c r="J85" i="2" s="1"/>
  <c r="J86" i="2" s="1"/>
  <c r="J87" i="2" s="1"/>
  <c r="J88" i="2" s="1"/>
  <c r="J89" i="2" s="1"/>
  <c r="J90" i="2" s="1"/>
  <c r="J91" i="2" s="1"/>
  <c r="J92" i="2" s="1"/>
  <c r="J93" i="2" s="1"/>
  <c r="J94" i="2" s="1"/>
  <c r="J95" i="2" s="1"/>
  <c r="J96" i="2" s="1"/>
  <c r="J97" i="2" s="1"/>
  <c r="J98" i="2" s="1"/>
  <c r="J99" i="2" s="1"/>
  <c r="J100" i="2" s="1"/>
  <c r="J101" i="2" s="1"/>
  <c r="J102" i="2" s="1"/>
  <c r="J103" i="2" s="1"/>
  <c r="J104" i="2" s="1"/>
  <c r="J105" i="2" s="1"/>
  <c r="J106" i="2" s="1"/>
  <c r="J107" i="2" s="1"/>
  <c r="J108" i="2" s="1"/>
  <c r="J109" i="2" s="1"/>
  <c r="J110" i="2" s="1"/>
  <c r="J111" i="2" s="1"/>
  <c r="J112" i="2" s="1"/>
  <c r="J113" i="2" s="1"/>
  <c r="J114" i="2" s="1"/>
  <c r="J115" i="2" s="1"/>
  <c r="J116" i="2" s="1"/>
  <c r="J117" i="2" s="1"/>
  <c r="J118" i="2" s="1"/>
  <c r="J119" i="2" s="1"/>
  <c r="J120" i="2" s="1"/>
  <c r="J121" i="2" s="1"/>
  <c r="J122" i="2" s="1"/>
  <c r="J123" i="2" s="1"/>
  <c r="J124" i="2" s="1"/>
  <c r="J125" i="2" s="1"/>
  <c r="J126" i="2" s="1"/>
  <c r="J127" i="2" s="1"/>
  <c r="J128" i="2" s="1"/>
  <c r="J129" i="2" s="1"/>
  <c r="J130" i="2" s="1"/>
  <c r="J131" i="2" s="1"/>
  <c r="J132" i="2" s="1"/>
  <c r="J133" i="2" s="1"/>
  <c r="J134" i="2" s="1"/>
  <c r="J135" i="2" s="1"/>
  <c r="J136" i="2" s="1"/>
  <c r="J137" i="2" s="1"/>
  <c r="J138" i="2" s="1"/>
  <c r="J139" i="2" s="1"/>
  <c r="J140" i="2" s="1"/>
  <c r="J141" i="2" s="1"/>
  <c r="J142" i="2" s="1"/>
  <c r="J143" i="2" s="1"/>
  <c r="J144" i="2" s="1"/>
  <c r="D52" i="2"/>
  <c r="C52" i="2"/>
  <c r="E52" i="2" s="1"/>
  <c r="L3" i="2" l="1"/>
  <c r="F3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4" i="2"/>
  <c r="G3" i="2" l="1"/>
  <c r="H3" i="2"/>
  <c r="O3" i="2" l="1"/>
  <c r="F4" i="2"/>
  <c r="H4" i="2" l="1"/>
  <c r="G4" i="2"/>
  <c r="L4" i="2"/>
  <c r="O4" i="2" l="1"/>
  <c r="F5" i="2"/>
  <c r="H5" i="2" l="1"/>
  <c r="G5" i="2"/>
  <c r="L5" i="2"/>
  <c r="O5" i="2" l="1"/>
  <c r="F6" i="2"/>
  <c r="H6" i="2" l="1"/>
  <c r="G6" i="2"/>
  <c r="L6" i="2"/>
  <c r="F7" i="2" l="1"/>
  <c r="O6" i="2"/>
  <c r="G7" i="2" l="1"/>
  <c r="H7" i="2"/>
  <c r="L7" i="2"/>
  <c r="F8" i="2" l="1"/>
  <c r="O7" i="2"/>
  <c r="G8" i="2" l="1"/>
  <c r="H8" i="2"/>
  <c r="L8" i="2"/>
  <c r="O8" i="2" l="1"/>
  <c r="F9" i="2"/>
  <c r="G9" i="2" l="1"/>
  <c r="H9" i="2"/>
  <c r="L9" i="2"/>
  <c r="O9" i="2" l="1"/>
  <c r="F10" i="2"/>
  <c r="H10" i="2" l="1"/>
  <c r="G10" i="2"/>
  <c r="L10" i="2"/>
  <c r="F11" i="2" l="1"/>
  <c r="O10" i="2"/>
  <c r="G11" i="2" l="1"/>
  <c r="H11" i="2"/>
  <c r="L11" i="2"/>
  <c r="F12" i="2" l="1"/>
  <c r="O11" i="2"/>
  <c r="H12" i="2" l="1"/>
  <c r="G12" i="2"/>
  <c r="L12" i="2"/>
  <c r="O12" i="2" l="1"/>
  <c r="F13" i="2"/>
  <c r="H13" i="2" l="1"/>
  <c r="G13" i="2"/>
  <c r="L13" i="2"/>
  <c r="O13" i="2" l="1"/>
  <c r="F14" i="2"/>
  <c r="H14" i="2" l="1"/>
  <c r="G14" i="2"/>
  <c r="L14" i="2"/>
  <c r="F15" i="2" l="1"/>
  <c r="O14" i="2"/>
  <c r="G15" i="2" l="1"/>
  <c r="H15" i="2"/>
  <c r="L15" i="2"/>
  <c r="F16" i="2" l="1"/>
  <c r="O15" i="2"/>
  <c r="G16" i="2" l="1"/>
  <c r="H16" i="2"/>
  <c r="L16" i="2"/>
  <c r="O16" i="2" l="1"/>
  <c r="F17" i="2"/>
  <c r="H17" i="2" l="1"/>
  <c r="G17" i="2"/>
  <c r="L17" i="2"/>
  <c r="O17" i="2" l="1"/>
  <c r="F18" i="2"/>
  <c r="H18" i="2" l="1"/>
  <c r="G18" i="2"/>
  <c r="L18" i="2"/>
  <c r="F19" i="2" l="1"/>
  <c r="O18" i="2"/>
  <c r="G19" i="2" l="1"/>
  <c r="H19" i="2"/>
  <c r="L19" i="2"/>
  <c r="F20" i="2" l="1"/>
  <c r="O19" i="2"/>
  <c r="H20" i="2" l="1"/>
  <c r="G20" i="2"/>
  <c r="L20" i="2"/>
  <c r="O20" i="2" l="1"/>
  <c r="F21" i="2"/>
  <c r="H21" i="2" l="1"/>
  <c r="G21" i="2"/>
  <c r="L21" i="2"/>
  <c r="O21" i="2" l="1"/>
  <c r="F22" i="2"/>
  <c r="H22" i="2" l="1"/>
  <c r="G22" i="2"/>
  <c r="L22" i="2"/>
  <c r="F23" i="2" l="1"/>
  <c r="O22" i="2"/>
  <c r="G23" i="2" l="1"/>
  <c r="H23" i="2"/>
  <c r="L23" i="2"/>
  <c r="F24" i="2" l="1"/>
  <c r="O23" i="2"/>
  <c r="G24" i="2" l="1"/>
  <c r="H24" i="2"/>
  <c r="L24" i="2"/>
  <c r="O24" i="2" l="1"/>
  <c r="F25" i="2"/>
  <c r="H25" i="2" l="1"/>
  <c r="G25" i="2"/>
  <c r="L25" i="2"/>
  <c r="O25" i="2" l="1"/>
  <c r="F26" i="2"/>
  <c r="H26" i="2" l="1"/>
  <c r="G26" i="2"/>
  <c r="L26" i="2"/>
  <c r="F27" i="2" l="1"/>
  <c r="O26" i="2"/>
  <c r="G27" i="2" l="1"/>
  <c r="H27" i="2"/>
  <c r="L27" i="2"/>
  <c r="F28" i="2" l="1"/>
  <c r="O27" i="2"/>
  <c r="H28" i="2" l="1"/>
  <c r="G28" i="2"/>
  <c r="L28" i="2"/>
  <c r="O28" i="2" l="1"/>
  <c r="F29" i="2"/>
  <c r="H29" i="2" l="1"/>
  <c r="G29" i="2"/>
  <c r="L29" i="2"/>
  <c r="O29" i="2" l="1"/>
  <c r="F30" i="2"/>
  <c r="H30" i="2" l="1"/>
  <c r="G30" i="2"/>
  <c r="L30" i="2"/>
  <c r="F31" i="2" l="1"/>
  <c r="O30" i="2"/>
  <c r="G31" i="2" l="1"/>
  <c r="H31" i="2"/>
  <c r="L31" i="2"/>
  <c r="F32" i="2" l="1"/>
  <c r="O31" i="2"/>
  <c r="G32" i="2" l="1"/>
  <c r="H32" i="2"/>
  <c r="L32" i="2"/>
  <c r="O32" i="2" l="1"/>
  <c r="F33" i="2"/>
  <c r="H33" i="2" l="1"/>
  <c r="G33" i="2"/>
  <c r="L33" i="2"/>
  <c r="O33" i="2" l="1"/>
  <c r="F34" i="2"/>
  <c r="H34" i="2" l="1"/>
  <c r="G34" i="2"/>
  <c r="L34" i="2"/>
  <c r="F35" i="2" l="1"/>
  <c r="O34" i="2"/>
  <c r="G35" i="2" l="1"/>
  <c r="H35" i="2"/>
  <c r="L35" i="2"/>
  <c r="O35" i="2" l="1"/>
</calcChain>
</file>

<file path=xl/sharedStrings.xml><?xml version="1.0" encoding="utf-8"?>
<sst xmlns="http://schemas.openxmlformats.org/spreadsheetml/2006/main" count="21" uniqueCount="21">
  <si>
    <t>Agent ID</t>
  </si>
  <si>
    <t>InterArrival Time
(min)</t>
  </si>
  <si>
    <t>Service Duration time
(min)</t>
  </si>
  <si>
    <t>Arrival Time
(mins)</t>
  </si>
  <si>
    <t>Service Start time
(mins)</t>
  </si>
  <si>
    <t>Service End Time
(mins)</t>
  </si>
  <si>
    <t>Waiting Time
(mins)</t>
  </si>
  <si>
    <t>Max WT</t>
  </si>
  <si>
    <t>Total WT</t>
  </si>
  <si>
    <t>Avg WT</t>
  </si>
  <si>
    <t>No. of Agents in Queue</t>
  </si>
  <si>
    <t>Aver</t>
  </si>
  <si>
    <t>Server Utilization Rate</t>
  </si>
  <si>
    <t>Max No Of
Agents at any time</t>
  </si>
  <si>
    <t>Cycle Time
(mins)</t>
  </si>
  <si>
    <t>Average 
Cycle Time
(mins)</t>
  </si>
  <si>
    <t>Maximum
Cycle Time
(mins)</t>
  </si>
  <si>
    <t>Arrival
(mins)</t>
  </si>
  <si>
    <t>Departure
(mins)</t>
  </si>
  <si>
    <t>No. of
Arrival</t>
  </si>
  <si>
    <t>No. of
Departure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</si>
</sst>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1">
    <border>
      <left/>
      <right/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double">
        <color indexed="64"/>
      </right>
      <top/>
      <bottom/>
      <diagonal/>
    </border>
    <border>
      <left style="thick">
        <color indexed="64"/>
      </left>
      <right style="double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/>
      <diagonal/>
    </border>
  </borders>
  <cellStyleXfs count="1">
    <xf numFmtId="0" fontId="0" fillId="0" borderId="0"/>
  </cellStyleXfs>
  <cellXfs count="49">
    <xf numFmtId="0" fontId="0" fillId="0" borderId="0" xfId="0"/>
    <xf numFmtId="2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1" xfId="0" applyFont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0" fillId="0" borderId="2" xfId="0" applyBorder="1"/>
    <xf numFmtId="2" fontId="0" fillId="0" borderId="4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5" xfId="0" applyFont="1" applyBorder="1" applyAlignment="1">
      <alignment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8" xfId="0" applyFont="1" applyBorder="1" applyAlignment="1">
      <alignment horizontal="center" vertical="center" wrapText="1"/>
    </xf>
    <xf numFmtId="2" fontId="0" fillId="0" borderId="9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0" fontId="1" fillId="0" borderId="11" xfId="0" applyFont="1" applyBorder="1" applyAlignment="1">
      <alignment horizontal="center" vertical="center" wrapText="1"/>
    </xf>
    <xf numFmtId="2" fontId="0" fillId="0" borderId="12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12" xfId="0" applyNumberFormat="1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16" xfId="0" applyBorder="1"/>
    <xf numFmtId="0" fontId="1" fillId="0" borderId="17" xfId="0" applyFont="1" applyBorder="1" applyAlignment="1">
      <alignment horizontal="center" vertical="center" wrapText="1"/>
    </xf>
    <xf numFmtId="0" fontId="0" fillId="0" borderId="15" xfId="0" applyBorder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1" fillId="0" borderId="11" xfId="0" applyFont="1" applyBorder="1" applyAlignment="1">
      <alignment horizontal="center" wrapText="1"/>
    </xf>
    <xf numFmtId="0" fontId="1" fillId="0" borderId="17" xfId="0" applyFont="1" applyBorder="1" applyAlignment="1">
      <alignment horizontal="center" wrapText="1"/>
    </xf>
    <xf numFmtId="0" fontId="1" fillId="0" borderId="17" xfId="0" applyFont="1" applyBorder="1" applyAlignment="1">
      <alignment horizontal="center" vertical="center"/>
    </xf>
    <xf numFmtId="2" fontId="0" fillId="0" borderId="18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4" xfId="0" applyBorder="1" applyAlignment="1">
      <alignment horizontal="center"/>
    </xf>
    <xf numFmtId="2" fontId="0" fillId="2" borderId="18" xfId="0" applyNumberFormat="1" applyFill="1" applyBorder="1" applyAlignment="1">
      <alignment horizontal="center"/>
    </xf>
    <xf numFmtId="2" fontId="0" fillId="3" borderId="19" xfId="0" applyNumberFormat="1" applyFill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2" fontId="0" fillId="4" borderId="0" xfId="0" applyNumberFormat="1" applyFill="1"/>
    <xf numFmtId="0" fontId="0" fillId="0" borderId="3" xfId="0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 vertical="center"/>
    </xf>
    <xf numFmtId="2" fontId="0" fillId="0" borderId="0" xfId="0" applyNumberFormat="1" applyBorder="1"/>
    <xf numFmtId="2" fontId="0" fillId="4" borderId="0" xfId="0" applyNumberFormat="1" applyFill="1" applyBorder="1"/>
    <xf numFmtId="0" fontId="0" fillId="0" borderId="20" xfId="0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20" xfId="0" applyNumberFormat="1" applyBorder="1" applyAlignment="1">
      <alignment horizontal="center" vertical="center"/>
    </xf>
    <xf numFmtId="0" fontId="0" fillId="0" borderId="2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18F32-F25F-4BB7-8E28-C8E989B0CCD1}">
  <dimension ref="A1:AJ209"/>
  <sheetViews>
    <sheetView tabSelected="1" topLeftCell="A24" zoomScaleNormal="100" workbookViewId="0">
      <selection activeCell="A36" sqref="A36"/>
    </sheetView>
  </sheetViews>
  <sheetFormatPr defaultRowHeight="15" x14ac:dyDescent="0.25"/>
  <cols>
    <col min="3" max="3" width="16.7109375" customWidth="1"/>
    <col min="4" max="4" width="21.28515625" customWidth="1"/>
    <col min="5" max="5" width="12.42578125" customWidth="1"/>
    <col min="6" max="6" width="14.5703125" customWidth="1"/>
    <col min="7" max="7" width="14.7109375" customWidth="1"/>
    <col min="8" max="8" width="10.5703125" bestFit="1" customWidth="1"/>
    <col min="9" max="9" width="9.5703125" bestFit="1" customWidth="1"/>
    <col min="12" max="12" width="10.5703125" customWidth="1"/>
    <col min="14" max="14" width="10.28515625" bestFit="1" customWidth="1"/>
    <col min="15" max="15" width="11" customWidth="1"/>
    <col min="16" max="17" width="10.5703125" bestFit="1" customWidth="1"/>
    <col min="18" max="18" width="21.140625" bestFit="1" customWidth="1"/>
    <col min="19" max="19" width="7.5703125" bestFit="1" customWidth="1"/>
    <col min="21" max="21" width="10.85546875" customWidth="1"/>
    <col min="22" max="22" width="10.140625" customWidth="1"/>
  </cols>
  <sheetData>
    <row r="1" spans="2:22" ht="15.75" thickBot="1" x14ac:dyDescent="0.3">
      <c r="K1" s="23"/>
      <c r="P1" s="6"/>
    </row>
    <row r="2" spans="2:22" ht="48.75" customHeight="1" thickTop="1" thickBot="1" x14ac:dyDescent="0.3">
      <c r="B2" s="10" t="s">
        <v>0</v>
      </c>
      <c r="C2" s="13" t="s">
        <v>1</v>
      </c>
      <c r="D2" s="16" t="s">
        <v>2</v>
      </c>
      <c r="E2" s="16" t="s">
        <v>3</v>
      </c>
      <c r="F2" s="16" t="s">
        <v>4</v>
      </c>
      <c r="G2" s="16" t="s">
        <v>5</v>
      </c>
      <c r="H2" s="16" t="s">
        <v>6</v>
      </c>
      <c r="I2" s="16" t="s">
        <v>7</v>
      </c>
      <c r="J2" s="16" t="s">
        <v>8</v>
      </c>
      <c r="K2" s="24" t="s">
        <v>9</v>
      </c>
      <c r="L2" s="16" t="s">
        <v>10</v>
      </c>
      <c r="M2" s="16" t="s">
        <v>11</v>
      </c>
      <c r="N2" s="28" t="s">
        <v>13</v>
      </c>
      <c r="O2" s="16" t="s">
        <v>14</v>
      </c>
      <c r="P2" s="29" t="s">
        <v>15</v>
      </c>
      <c r="Q2" s="28" t="s">
        <v>16</v>
      </c>
      <c r="R2" s="30" t="s">
        <v>12</v>
      </c>
      <c r="S2" s="16" t="s">
        <v>17</v>
      </c>
      <c r="T2" s="16" t="s">
        <v>19</v>
      </c>
      <c r="U2" s="16" t="s">
        <v>18</v>
      </c>
      <c r="V2" s="4" t="s">
        <v>20</v>
      </c>
    </row>
    <row r="3" spans="2:22" ht="16.5" thickTop="1" thickBot="1" x14ac:dyDescent="0.3">
      <c r="B3" s="11">
        <v>1</v>
      </c>
      <c r="C3" s="14">
        <v>5.4771247950258841</v>
      </c>
      <c r="D3" s="17">
        <v>4.0570541636351232</v>
      </c>
      <c r="E3" s="19">
        <v>5.4771247950258841</v>
      </c>
      <c r="F3" s="19">
        <f>C3</f>
        <v>5.4771247950258841</v>
      </c>
      <c r="G3" s="19">
        <f>F3+D3</f>
        <v>9.5341789586610073</v>
      </c>
      <c r="H3" s="17">
        <f>F3-E3</f>
        <v>0</v>
      </c>
      <c r="I3" s="31">
        <f>MAX(H3:H35)</f>
        <v>20.68070558012738</v>
      </c>
      <c r="J3" s="34">
        <f>SUM(H3:H35)</f>
        <v>221.83627147532974</v>
      </c>
      <c r="K3" s="35">
        <f>AVERAGE(H3:H35)</f>
        <v>6.7223112568281742</v>
      </c>
      <c r="L3" s="26">
        <f>COUNTIF(F3,"&lt;"&amp;E3)</f>
        <v>0</v>
      </c>
      <c r="M3" s="32">
        <f>SUM(L3:L35)/COUNTIF(L3:L35,"&gt;"&amp;0)</f>
        <v>2.925925925925926</v>
      </c>
      <c r="N3" s="32">
        <f>MAX(L3:L35)</f>
        <v>6</v>
      </c>
      <c r="O3" s="17">
        <f>G3-E3</f>
        <v>4.0570541636351232</v>
      </c>
      <c r="P3" s="31">
        <f>AVERAGE(O3:O35)</f>
        <v>10.301040891650851</v>
      </c>
      <c r="Q3" s="31">
        <f>MAX(O3:O35)</f>
        <v>23.449809912882074</v>
      </c>
      <c r="R3" s="36">
        <f>COUNTIF(H3:H35,"&lt;&gt;"&amp;0)/COUNT(H3:H35)</f>
        <v>0.81818181818181823</v>
      </c>
      <c r="S3" s="26">
        <v>0</v>
      </c>
      <c r="T3" s="26">
        <f>COUNTIF($E$3:$E$35,"&lt;"&amp;S3)</f>
        <v>0</v>
      </c>
      <c r="U3" s="26">
        <v>0</v>
      </c>
      <c r="V3" s="9">
        <f>COUNTIF($G$3:$G$35,"&lt;"&amp;U3)</f>
        <v>0</v>
      </c>
    </row>
    <row r="4" spans="2:22" ht="15.75" thickBot="1" x14ac:dyDescent="0.3">
      <c r="B4" s="11">
        <f>1+B3</f>
        <v>2</v>
      </c>
      <c r="C4" s="14">
        <v>4.6525716024363595</v>
      </c>
      <c r="D4" s="17">
        <v>4.3541057171754023</v>
      </c>
      <c r="E4" s="19">
        <v>10.129696397462244</v>
      </c>
      <c r="F4" s="19">
        <f>MAX(G3,E4)</f>
        <v>10.129696397462244</v>
      </c>
      <c r="G4" s="19">
        <f t="shared" ref="G4:G35" si="0">F4+D4</f>
        <v>14.483802114637646</v>
      </c>
      <c r="H4" s="17">
        <f t="shared" ref="H4:H35" si="1">F4-E4</f>
        <v>0</v>
      </c>
      <c r="I4" s="21"/>
      <c r="J4" s="21"/>
      <c r="K4" s="23"/>
      <c r="L4" s="26">
        <f>COUNTIF($F$3:F4,"&gt;"&amp;E4)</f>
        <v>0</v>
      </c>
      <c r="M4" s="33">
        <f>COUNTIF(L3:L35,"&gt;"&amp;0)</f>
        <v>27</v>
      </c>
      <c r="N4" s="26"/>
      <c r="O4" s="17">
        <f t="shared" ref="O4:O35" si="2">G4-E4</f>
        <v>4.3541057171754023</v>
      </c>
      <c r="P4" s="2"/>
      <c r="R4" s="23"/>
      <c r="S4" s="26">
        <v>5</v>
      </c>
      <c r="T4" s="26">
        <f t="shared" ref="T4:T27" si="3">COUNTIF($E$3:$E$35,"&lt;"&amp;S4)</f>
        <v>0</v>
      </c>
      <c r="U4" s="26">
        <v>5</v>
      </c>
      <c r="V4" s="9">
        <f t="shared" ref="V4:V27" si="4">COUNTIF($G$3:$G$35,"&lt;"&amp;U4)</f>
        <v>0</v>
      </c>
    </row>
    <row r="5" spans="2:22" x14ac:dyDescent="0.25">
      <c r="B5" s="11">
        <f t="shared" ref="B5:B35" si="5">1+B4</f>
        <v>3</v>
      </c>
      <c r="C5" s="14">
        <v>14.161699437512796</v>
      </c>
      <c r="D5" s="17">
        <v>3.1583448947280193</v>
      </c>
      <c r="E5" s="19">
        <v>24.291395834975042</v>
      </c>
      <c r="F5" s="19">
        <f t="shared" ref="F5:F35" si="6">MAX(G4,E5)</f>
        <v>24.291395834975042</v>
      </c>
      <c r="G5" s="19">
        <f t="shared" si="0"/>
        <v>27.449740729703059</v>
      </c>
      <c r="H5" s="17">
        <f t="shared" si="1"/>
        <v>0</v>
      </c>
      <c r="I5" s="21"/>
      <c r="J5" s="21"/>
      <c r="K5" s="23"/>
      <c r="L5" s="26">
        <f>COUNTIF($F$3:F5,"&gt;"&amp;E5)</f>
        <v>0</v>
      </c>
      <c r="M5" s="21"/>
      <c r="N5" s="26"/>
      <c r="O5" s="17">
        <f t="shared" si="2"/>
        <v>3.1583448947280175</v>
      </c>
      <c r="P5" s="2"/>
      <c r="R5" s="23"/>
      <c r="S5" s="26">
        <v>10</v>
      </c>
      <c r="T5" s="26">
        <f t="shared" si="3"/>
        <v>1</v>
      </c>
      <c r="U5" s="26">
        <v>10</v>
      </c>
      <c r="V5" s="9">
        <f t="shared" si="4"/>
        <v>1</v>
      </c>
    </row>
    <row r="6" spans="2:22" x14ac:dyDescent="0.25">
      <c r="B6" s="11">
        <f t="shared" si="5"/>
        <v>4</v>
      </c>
      <c r="C6" s="14">
        <v>7.8231854947825097</v>
      </c>
      <c r="D6" s="17">
        <v>3.4812288357894925</v>
      </c>
      <c r="E6" s="19">
        <v>32.114581329757549</v>
      </c>
      <c r="F6" s="19">
        <f t="shared" si="6"/>
        <v>32.114581329757549</v>
      </c>
      <c r="G6" s="19">
        <f t="shared" si="0"/>
        <v>35.595810165547043</v>
      </c>
      <c r="H6" s="17">
        <f t="shared" si="1"/>
        <v>0</v>
      </c>
      <c r="I6" s="21"/>
      <c r="J6" s="21"/>
      <c r="K6" s="23"/>
      <c r="L6" s="26">
        <f>COUNTIF($F$3:F6,"&gt;"&amp;E6)</f>
        <v>0</v>
      </c>
      <c r="M6" s="21"/>
      <c r="N6" s="26"/>
      <c r="O6" s="17">
        <f t="shared" si="2"/>
        <v>3.4812288357894943</v>
      </c>
      <c r="P6" s="2"/>
      <c r="R6" s="23"/>
      <c r="S6" s="26">
        <v>15</v>
      </c>
      <c r="T6" s="26">
        <f t="shared" si="3"/>
        <v>2</v>
      </c>
      <c r="U6" s="26">
        <v>15</v>
      </c>
      <c r="V6" s="9">
        <f t="shared" si="4"/>
        <v>2</v>
      </c>
    </row>
    <row r="7" spans="2:22" x14ac:dyDescent="0.25">
      <c r="B7" s="11">
        <f t="shared" si="5"/>
        <v>5</v>
      </c>
      <c r="C7" s="14">
        <v>4.7995843316063382</v>
      </c>
      <c r="D7" s="17">
        <v>3.9006422092561053</v>
      </c>
      <c r="E7" s="19">
        <v>36.914165661363889</v>
      </c>
      <c r="F7" s="19">
        <f t="shared" si="6"/>
        <v>36.914165661363889</v>
      </c>
      <c r="G7" s="19">
        <f t="shared" si="0"/>
        <v>40.814807870619994</v>
      </c>
      <c r="H7" s="17">
        <f t="shared" si="1"/>
        <v>0</v>
      </c>
      <c r="I7" s="21"/>
      <c r="J7" s="21"/>
      <c r="K7" s="23"/>
      <c r="L7" s="26">
        <f>COUNTIF($F$3:F7,"&gt;"&amp;E7)</f>
        <v>0</v>
      </c>
      <c r="M7" s="21"/>
      <c r="N7" s="26"/>
      <c r="O7" s="17">
        <f t="shared" si="2"/>
        <v>3.9006422092561053</v>
      </c>
      <c r="P7" s="2"/>
      <c r="R7" s="23"/>
      <c r="S7" s="26">
        <v>20</v>
      </c>
      <c r="T7" s="26">
        <f t="shared" si="3"/>
        <v>2</v>
      </c>
      <c r="U7" s="26">
        <v>20</v>
      </c>
      <c r="V7" s="9">
        <f t="shared" si="4"/>
        <v>2</v>
      </c>
    </row>
    <row r="8" spans="2:22" x14ac:dyDescent="0.25">
      <c r="B8" s="11">
        <f t="shared" si="5"/>
        <v>6</v>
      </c>
      <c r="C8" s="14">
        <v>0.23466510455794784</v>
      </c>
      <c r="D8" s="17">
        <v>2.9422348067307702</v>
      </c>
      <c r="E8" s="19">
        <v>37.148830765921836</v>
      </c>
      <c r="F8" s="19">
        <f t="shared" si="6"/>
        <v>40.814807870619994</v>
      </c>
      <c r="G8" s="19">
        <f t="shared" si="0"/>
        <v>43.757042677350768</v>
      </c>
      <c r="H8" s="17">
        <f t="shared" si="1"/>
        <v>3.6659771046981575</v>
      </c>
      <c r="I8" s="21"/>
      <c r="J8" s="21"/>
      <c r="K8" s="23"/>
      <c r="L8" s="26">
        <f>COUNTIF($F$3:F8,"&gt;"&amp;E8)</f>
        <v>1</v>
      </c>
      <c r="M8" s="21"/>
      <c r="N8" s="26"/>
      <c r="O8" s="17">
        <f t="shared" si="2"/>
        <v>6.6082119114289313</v>
      </c>
      <c r="P8" s="2"/>
      <c r="R8" s="23"/>
      <c r="S8" s="26">
        <v>25</v>
      </c>
      <c r="T8" s="26">
        <f t="shared" si="3"/>
        <v>3</v>
      </c>
      <c r="U8" s="26">
        <v>25</v>
      </c>
      <c r="V8" s="9">
        <f t="shared" si="4"/>
        <v>2</v>
      </c>
    </row>
    <row r="9" spans="2:22" x14ac:dyDescent="0.25">
      <c r="B9" s="11">
        <f t="shared" si="5"/>
        <v>7</v>
      </c>
      <c r="C9" s="14">
        <v>0.47649264010912667</v>
      </c>
      <c r="D9" s="17">
        <v>2.5484221214648581</v>
      </c>
      <c r="E9" s="19">
        <v>37.625323406030965</v>
      </c>
      <c r="F9" s="19">
        <f t="shared" si="6"/>
        <v>43.757042677350768</v>
      </c>
      <c r="G9" s="19">
        <f t="shared" si="0"/>
        <v>46.305464798815628</v>
      </c>
      <c r="H9" s="17">
        <f t="shared" si="1"/>
        <v>6.1317192713198025</v>
      </c>
      <c r="I9" s="21"/>
      <c r="J9" s="21"/>
      <c r="K9" s="23"/>
      <c r="L9" s="26">
        <f>COUNTIF($F$3:F9,"&gt;"&amp;E9)</f>
        <v>2</v>
      </c>
      <c r="M9" s="21"/>
      <c r="N9" s="26"/>
      <c r="O9" s="17">
        <f t="shared" si="2"/>
        <v>8.6801413927846625</v>
      </c>
      <c r="P9" s="2"/>
      <c r="R9" s="23"/>
      <c r="S9" s="26">
        <v>30</v>
      </c>
      <c r="T9" s="26">
        <f t="shared" si="3"/>
        <v>3</v>
      </c>
      <c r="U9" s="26">
        <v>30</v>
      </c>
      <c r="V9" s="9">
        <f t="shared" si="4"/>
        <v>3</v>
      </c>
    </row>
    <row r="10" spans="2:22" x14ac:dyDescent="0.25">
      <c r="B10" s="11">
        <f t="shared" si="5"/>
        <v>8</v>
      </c>
      <c r="C10" s="14">
        <v>3.4758226702996309</v>
      </c>
      <c r="D10" s="17">
        <v>3.9075115697544796</v>
      </c>
      <c r="E10" s="19">
        <v>41.101146076330593</v>
      </c>
      <c r="F10" s="19">
        <f t="shared" si="6"/>
        <v>46.305464798815628</v>
      </c>
      <c r="G10" s="19">
        <f t="shared" si="0"/>
        <v>50.212976368570111</v>
      </c>
      <c r="H10" s="17">
        <f t="shared" si="1"/>
        <v>5.2043187224850342</v>
      </c>
      <c r="I10" s="21"/>
      <c r="J10" s="21"/>
      <c r="K10" s="23"/>
      <c r="L10" s="26">
        <f>COUNTIF($F$3:F10,"&gt;"&amp;E10)</f>
        <v>2</v>
      </c>
      <c r="M10" s="21"/>
      <c r="N10" s="26"/>
      <c r="O10" s="17">
        <f t="shared" si="2"/>
        <v>9.1118302922395173</v>
      </c>
      <c r="P10" s="2"/>
      <c r="R10" s="23"/>
      <c r="S10" s="26">
        <v>35</v>
      </c>
      <c r="T10" s="26">
        <f t="shared" si="3"/>
        <v>4</v>
      </c>
      <c r="U10" s="26">
        <v>35</v>
      </c>
      <c r="V10" s="9">
        <f t="shared" si="4"/>
        <v>3</v>
      </c>
    </row>
    <row r="11" spans="2:22" x14ac:dyDescent="0.25">
      <c r="B11" s="11">
        <f t="shared" si="5"/>
        <v>9</v>
      </c>
      <c r="C11" s="14">
        <v>5.0151242322029139</v>
      </c>
      <c r="D11" s="17">
        <v>3.7630770695090296</v>
      </c>
      <c r="E11" s="19">
        <v>46.116270308533508</v>
      </c>
      <c r="F11" s="19">
        <f t="shared" si="6"/>
        <v>50.212976368570111</v>
      </c>
      <c r="G11" s="19">
        <f t="shared" si="0"/>
        <v>53.976053438079141</v>
      </c>
      <c r="H11" s="17">
        <f t="shared" si="1"/>
        <v>4.0967060600366025</v>
      </c>
      <c r="I11" s="21"/>
      <c r="J11" s="21"/>
      <c r="K11" s="23"/>
      <c r="L11" s="26">
        <f>COUNTIF($F$3:F11,"&gt;"&amp;E11)</f>
        <v>2</v>
      </c>
      <c r="M11" s="21"/>
      <c r="N11" s="26"/>
      <c r="O11" s="17">
        <f t="shared" si="2"/>
        <v>7.8597831295456331</v>
      </c>
      <c r="P11" s="2"/>
      <c r="R11" s="23"/>
      <c r="S11" s="26">
        <v>40</v>
      </c>
      <c r="T11" s="26">
        <f t="shared" si="3"/>
        <v>7</v>
      </c>
      <c r="U11" s="26">
        <v>40</v>
      </c>
      <c r="V11" s="9">
        <f t="shared" si="4"/>
        <v>4</v>
      </c>
    </row>
    <row r="12" spans="2:22" x14ac:dyDescent="0.25">
      <c r="B12" s="11">
        <f t="shared" si="5"/>
        <v>10</v>
      </c>
      <c r="C12" s="14">
        <v>3.5345200132770693</v>
      </c>
      <c r="D12" s="17">
        <v>4.3559119780261444</v>
      </c>
      <c r="E12" s="19">
        <v>49.650790321810575</v>
      </c>
      <c r="F12" s="19">
        <f t="shared" si="6"/>
        <v>53.976053438079141</v>
      </c>
      <c r="G12" s="19">
        <f t="shared" si="0"/>
        <v>58.331965416105284</v>
      </c>
      <c r="H12" s="17">
        <f t="shared" si="1"/>
        <v>4.325263116268566</v>
      </c>
      <c r="I12" s="21"/>
      <c r="J12" s="21"/>
      <c r="K12" s="23"/>
      <c r="L12" s="26">
        <f>COUNTIF($F$3:F12,"&gt;"&amp;E12)</f>
        <v>2</v>
      </c>
      <c r="M12" s="21"/>
      <c r="N12" s="26"/>
      <c r="O12" s="17">
        <f t="shared" si="2"/>
        <v>8.6811750942947086</v>
      </c>
      <c r="P12" s="2"/>
      <c r="R12" s="23"/>
      <c r="S12" s="26">
        <v>45</v>
      </c>
      <c r="T12" s="26">
        <f t="shared" si="3"/>
        <v>8</v>
      </c>
      <c r="U12" s="26">
        <v>45</v>
      </c>
      <c r="V12" s="9">
        <f t="shared" si="4"/>
        <v>6</v>
      </c>
    </row>
    <row r="13" spans="2:22" x14ac:dyDescent="0.25">
      <c r="B13" s="11">
        <f t="shared" si="5"/>
        <v>11</v>
      </c>
      <c r="C13" s="14">
        <v>11.32362030617991</v>
      </c>
      <c r="D13" s="17">
        <v>3.2537684411070087</v>
      </c>
      <c r="E13" s="19">
        <v>60.974410627990487</v>
      </c>
      <c r="F13" s="19">
        <f t="shared" si="6"/>
        <v>60.974410627990487</v>
      </c>
      <c r="G13" s="19">
        <f t="shared" si="0"/>
        <v>64.228179069097493</v>
      </c>
      <c r="H13" s="17">
        <f t="shared" si="1"/>
        <v>0</v>
      </c>
      <c r="I13" s="21"/>
      <c r="J13" s="21"/>
      <c r="K13" s="23"/>
      <c r="L13" s="26">
        <f>COUNTIF($F$3:F13,"&gt;"&amp;E13)</f>
        <v>0</v>
      </c>
      <c r="M13" s="21"/>
      <c r="N13" s="26"/>
      <c r="O13" s="17">
        <f t="shared" si="2"/>
        <v>3.253768441107006</v>
      </c>
      <c r="P13" s="2"/>
      <c r="R13" s="23"/>
      <c r="S13" s="26">
        <v>50</v>
      </c>
      <c r="T13" s="26">
        <f t="shared" si="3"/>
        <v>10</v>
      </c>
      <c r="U13" s="26">
        <v>50</v>
      </c>
      <c r="V13" s="9">
        <f t="shared" si="4"/>
        <v>7</v>
      </c>
    </row>
    <row r="14" spans="2:22" x14ac:dyDescent="0.25">
      <c r="B14" s="11">
        <f t="shared" si="5"/>
        <v>12</v>
      </c>
      <c r="C14" s="14">
        <v>2.9257408919149896</v>
      </c>
      <c r="D14" s="17">
        <v>3.518219020810045</v>
      </c>
      <c r="E14" s="19">
        <v>63.900151519905478</v>
      </c>
      <c r="F14" s="19">
        <f t="shared" si="6"/>
        <v>64.228179069097493</v>
      </c>
      <c r="G14" s="19">
        <f t="shared" si="0"/>
        <v>67.746398089907544</v>
      </c>
      <c r="H14" s="17">
        <f t="shared" si="1"/>
        <v>0.32802754919201504</v>
      </c>
      <c r="I14" s="21"/>
      <c r="J14" s="21"/>
      <c r="K14" s="23"/>
      <c r="L14" s="26">
        <f>COUNTIF($F$3:F14,"&gt;"&amp;E14)</f>
        <v>1</v>
      </c>
      <c r="M14" s="21"/>
      <c r="N14" s="26"/>
      <c r="O14" s="17">
        <f t="shared" si="2"/>
        <v>3.8462465700020658</v>
      </c>
      <c r="P14" s="2"/>
      <c r="R14" s="23"/>
      <c r="S14" s="26">
        <v>55</v>
      </c>
      <c r="T14" s="26">
        <f t="shared" si="3"/>
        <v>10</v>
      </c>
      <c r="U14" s="26">
        <v>55</v>
      </c>
      <c r="V14" s="9">
        <f t="shared" si="4"/>
        <v>9</v>
      </c>
    </row>
    <row r="15" spans="2:22" x14ac:dyDescent="0.25">
      <c r="B15" s="11">
        <f t="shared" si="5"/>
        <v>13</v>
      </c>
      <c r="C15" s="14">
        <v>1.2218121682125618</v>
      </c>
      <c r="D15" s="17">
        <v>3.2619232904634483</v>
      </c>
      <c r="E15" s="19">
        <v>65.121963688118043</v>
      </c>
      <c r="F15" s="19">
        <f t="shared" si="6"/>
        <v>67.746398089907544</v>
      </c>
      <c r="G15" s="19">
        <f t="shared" si="0"/>
        <v>71.008321380370987</v>
      </c>
      <c r="H15" s="17">
        <f t="shared" si="1"/>
        <v>2.6244344017895003</v>
      </c>
      <c r="I15" s="21"/>
      <c r="J15" s="21"/>
      <c r="K15" s="23"/>
      <c r="L15" s="26">
        <f>COUNTIF($F$3:F15,"&gt;"&amp;E15)</f>
        <v>1</v>
      </c>
      <c r="M15" s="21"/>
      <c r="N15" s="26"/>
      <c r="O15" s="17">
        <f t="shared" si="2"/>
        <v>5.8863576922529433</v>
      </c>
      <c r="P15" s="2"/>
      <c r="R15" s="23"/>
      <c r="S15" s="26">
        <v>60</v>
      </c>
      <c r="T15" s="26">
        <f t="shared" si="3"/>
        <v>10</v>
      </c>
      <c r="U15" s="26">
        <v>60</v>
      </c>
      <c r="V15" s="9">
        <f t="shared" si="4"/>
        <v>10</v>
      </c>
    </row>
    <row r="16" spans="2:22" x14ac:dyDescent="0.25">
      <c r="B16" s="11">
        <f t="shared" si="5"/>
        <v>14</v>
      </c>
      <c r="C16" s="14">
        <v>0.64223050733779774</v>
      </c>
      <c r="D16" s="17">
        <v>3.9738279168575081</v>
      </c>
      <c r="E16" s="19">
        <v>65.764194195455843</v>
      </c>
      <c r="F16" s="19">
        <f t="shared" si="6"/>
        <v>71.008321380370987</v>
      </c>
      <c r="G16" s="19">
        <f t="shared" si="0"/>
        <v>74.982149297228489</v>
      </c>
      <c r="H16" s="17">
        <f t="shared" si="1"/>
        <v>5.2441271849151434</v>
      </c>
      <c r="I16" s="21"/>
      <c r="J16" s="21"/>
      <c r="K16" s="23"/>
      <c r="L16" s="26">
        <f>COUNTIF($F$3:F16,"&gt;"&amp;E16)</f>
        <v>2</v>
      </c>
      <c r="M16" s="21"/>
      <c r="N16" s="26"/>
      <c r="O16" s="17">
        <f t="shared" si="2"/>
        <v>9.2179551017726453</v>
      </c>
      <c r="P16" s="2"/>
      <c r="R16" s="23"/>
      <c r="S16" s="26">
        <v>65</v>
      </c>
      <c r="T16" s="26">
        <f t="shared" si="3"/>
        <v>12</v>
      </c>
      <c r="U16" s="26">
        <v>65</v>
      </c>
      <c r="V16" s="9">
        <f t="shared" si="4"/>
        <v>11</v>
      </c>
    </row>
    <row r="17" spans="2:22" x14ac:dyDescent="0.25">
      <c r="B17" s="11">
        <f t="shared" si="5"/>
        <v>15</v>
      </c>
      <c r="C17" s="14">
        <v>0.48422770276786109</v>
      </c>
      <c r="D17" s="17">
        <v>2.6902561601254655</v>
      </c>
      <c r="E17" s="19">
        <v>66.248421898223711</v>
      </c>
      <c r="F17" s="19">
        <f t="shared" si="6"/>
        <v>74.982149297228489</v>
      </c>
      <c r="G17" s="19">
        <f t="shared" si="0"/>
        <v>77.67240545735396</v>
      </c>
      <c r="H17" s="17">
        <f t="shared" si="1"/>
        <v>8.7337273990047777</v>
      </c>
      <c r="I17" s="21"/>
      <c r="J17" s="21"/>
      <c r="K17" s="23"/>
      <c r="L17" s="26">
        <f>COUNTIF($F$3:F17,"&gt;"&amp;E17)</f>
        <v>3</v>
      </c>
      <c r="M17" s="21"/>
      <c r="N17" s="26"/>
      <c r="O17" s="17">
        <f t="shared" si="2"/>
        <v>11.423983559130249</v>
      </c>
      <c r="P17" s="2"/>
      <c r="R17" s="23"/>
      <c r="S17" s="26">
        <v>70</v>
      </c>
      <c r="T17" s="26">
        <f t="shared" si="3"/>
        <v>15</v>
      </c>
      <c r="U17" s="26">
        <v>70</v>
      </c>
      <c r="V17" s="9">
        <f t="shared" si="4"/>
        <v>12</v>
      </c>
    </row>
    <row r="18" spans="2:22" x14ac:dyDescent="0.25">
      <c r="B18" s="11">
        <f t="shared" si="5"/>
        <v>16</v>
      </c>
      <c r="C18" s="14">
        <v>4.4615493056224045</v>
      </c>
      <c r="D18" s="17">
        <v>3.4927771465492938</v>
      </c>
      <c r="E18" s="19">
        <v>70.709971203846109</v>
      </c>
      <c r="F18" s="19">
        <f t="shared" si="6"/>
        <v>77.67240545735396</v>
      </c>
      <c r="G18" s="19">
        <f t="shared" si="0"/>
        <v>81.165182603903247</v>
      </c>
      <c r="H18" s="17">
        <f t="shared" si="1"/>
        <v>6.9624342535078512</v>
      </c>
      <c r="I18" s="21"/>
      <c r="J18" s="21"/>
      <c r="K18" s="23"/>
      <c r="L18" s="26">
        <f>COUNTIF($F$3:F18,"&gt;"&amp;E18)</f>
        <v>3</v>
      </c>
      <c r="M18" s="21"/>
      <c r="N18" s="26"/>
      <c r="O18" s="17">
        <f t="shared" si="2"/>
        <v>10.455211400057138</v>
      </c>
      <c r="P18" s="2"/>
      <c r="R18" s="23"/>
      <c r="S18" s="26">
        <v>75</v>
      </c>
      <c r="T18" s="26">
        <f t="shared" si="3"/>
        <v>18</v>
      </c>
      <c r="U18" s="26">
        <v>75</v>
      </c>
      <c r="V18" s="9">
        <f t="shared" si="4"/>
        <v>14</v>
      </c>
    </row>
    <row r="19" spans="2:22" x14ac:dyDescent="0.25">
      <c r="B19" s="11">
        <f t="shared" si="5"/>
        <v>17</v>
      </c>
      <c r="C19" s="14">
        <v>1.9755720275695436</v>
      </c>
      <c r="D19" s="17">
        <v>3.6165449235854119</v>
      </c>
      <c r="E19" s="19">
        <v>72.68554323141565</v>
      </c>
      <c r="F19" s="19">
        <f t="shared" si="6"/>
        <v>81.165182603903247</v>
      </c>
      <c r="G19" s="19">
        <f t="shared" si="0"/>
        <v>84.781727527488655</v>
      </c>
      <c r="H19" s="17">
        <f t="shared" si="1"/>
        <v>8.4796393724875969</v>
      </c>
      <c r="I19" s="21"/>
      <c r="J19" s="21"/>
      <c r="K19" s="23"/>
      <c r="L19" s="26">
        <f>COUNTIF($F$3:F19,"&gt;"&amp;E19)</f>
        <v>3</v>
      </c>
      <c r="M19" s="21"/>
      <c r="N19" s="26"/>
      <c r="O19" s="17">
        <f t="shared" si="2"/>
        <v>12.096184296073005</v>
      </c>
      <c r="P19" s="2"/>
      <c r="R19" s="23"/>
      <c r="S19" s="26">
        <v>80</v>
      </c>
      <c r="T19" s="26">
        <f t="shared" si="3"/>
        <v>20</v>
      </c>
      <c r="U19" s="26">
        <v>80</v>
      </c>
      <c r="V19" s="9">
        <f t="shared" si="4"/>
        <v>15</v>
      </c>
    </row>
    <row r="20" spans="2:22" x14ac:dyDescent="0.25">
      <c r="B20" s="11">
        <f t="shared" si="5"/>
        <v>18</v>
      </c>
      <c r="C20" s="14">
        <v>2.2601516679551938</v>
      </c>
      <c r="D20" s="17">
        <v>3.0519852043803319</v>
      </c>
      <c r="E20" s="19">
        <v>74.945694899370849</v>
      </c>
      <c r="F20" s="19">
        <f t="shared" si="6"/>
        <v>84.781727527488655</v>
      </c>
      <c r="G20" s="19">
        <f t="shared" si="0"/>
        <v>87.833712731868985</v>
      </c>
      <c r="H20" s="17">
        <f t="shared" si="1"/>
        <v>9.8360326281178061</v>
      </c>
      <c r="I20" s="21"/>
      <c r="J20" s="21"/>
      <c r="K20" s="23"/>
      <c r="L20" s="26">
        <f>COUNTIF($F$3:F20,"&gt;"&amp;E20)</f>
        <v>4</v>
      </c>
      <c r="M20" s="21"/>
      <c r="N20" s="26"/>
      <c r="O20" s="17">
        <f t="shared" si="2"/>
        <v>12.888017832498136</v>
      </c>
      <c r="P20" s="2"/>
      <c r="R20" s="23"/>
      <c r="S20" s="26">
        <v>85</v>
      </c>
      <c r="T20" s="26">
        <f t="shared" si="3"/>
        <v>21</v>
      </c>
      <c r="U20" s="26">
        <v>85</v>
      </c>
      <c r="V20" s="9">
        <f t="shared" si="4"/>
        <v>17</v>
      </c>
    </row>
    <row r="21" spans="2:22" x14ac:dyDescent="0.25">
      <c r="B21" s="11">
        <f t="shared" si="5"/>
        <v>19</v>
      </c>
      <c r="C21" s="14">
        <v>2.4732696086968682</v>
      </c>
      <c r="D21" s="17">
        <v>3.8346417572140847</v>
      </c>
      <c r="E21" s="19">
        <v>77.418964508067717</v>
      </c>
      <c r="F21" s="19">
        <f t="shared" si="6"/>
        <v>87.833712731868985</v>
      </c>
      <c r="G21" s="19">
        <f t="shared" si="0"/>
        <v>91.668354489083072</v>
      </c>
      <c r="H21" s="17">
        <f t="shared" si="1"/>
        <v>10.414748223801269</v>
      </c>
      <c r="I21" s="21"/>
      <c r="J21" s="21"/>
      <c r="K21" s="23"/>
      <c r="L21" s="26">
        <f>COUNTIF($F$3:F21,"&gt;"&amp;E21)</f>
        <v>4</v>
      </c>
      <c r="M21" s="21"/>
      <c r="N21" s="26"/>
      <c r="O21" s="17">
        <f t="shared" si="2"/>
        <v>14.249389981015355</v>
      </c>
      <c r="P21" s="2"/>
      <c r="R21" s="23"/>
      <c r="S21" s="26">
        <v>90</v>
      </c>
      <c r="T21" s="26">
        <f t="shared" si="3"/>
        <v>22</v>
      </c>
      <c r="U21" s="26">
        <v>90</v>
      </c>
      <c r="V21" s="9">
        <f t="shared" si="4"/>
        <v>18</v>
      </c>
    </row>
    <row r="22" spans="2:22" x14ac:dyDescent="0.25">
      <c r="B22" s="11">
        <f t="shared" si="5"/>
        <v>20</v>
      </c>
      <c r="C22" s="14">
        <v>0.20589196558409287</v>
      </c>
      <c r="D22" s="17">
        <v>4.4385120065234771</v>
      </c>
      <c r="E22" s="19">
        <v>77.624856473651803</v>
      </c>
      <c r="F22" s="19">
        <f t="shared" si="6"/>
        <v>91.668354489083072</v>
      </c>
      <c r="G22" s="19">
        <f t="shared" si="0"/>
        <v>96.106866495606553</v>
      </c>
      <c r="H22" s="17">
        <f t="shared" si="1"/>
        <v>14.043498015431268</v>
      </c>
      <c r="I22" s="21"/>
      <c r="J22" s="21"/>
      <c r="K22" s="23"/>
      <c r="L22" s="26">
        <f>COUNTIF($F$3:F22,"&gt;"&amp;E22)</f>
        <v>5</v>
      </c>
      <c r="M22" s="21"/>
      <c r="N22" s="26"/>
      <c r="O22" s="17">
        <f t="shared" si="2"/>
        <v>18.48201002195475</v>
      </c>
      <c r="P22" s="2"/>
      <c r="R22" s="23"/>
      <c r="S22" s="26">
        <v>95</v>
      </c>
      <c r="T22" s="26">
        <f t="shared" si="3"/>
        <v>22</v>
      </c>
      <c r="U22" s="26">
        <v>95</v>
      </c>
      <c r="V22" s="9">
        <f t="shared" si="4"/>
        <v>19</v>
      </c>
    </row>
    <row r="23" spans="2:22" x14ac:dyDescent="0.25">
      <c r="B23" s="11">
        <f t="shared" si="5"/>
        <v>21</v>
      </c>
      <c r="C23" s="14">
        <v>2.7624646453557862</v>
      </c>
      <c r="D23" s="17">
        <v>4.0685394537740498</v>
      </c>
      <c r="E23" s="19">
        <v>80.387321119007595</v>
      </c>
      <c r="F23" s="19">
        <f t="shared" si="6"/>
        <v>96.106866495606553</v>
      </c>
      <c r="G23" s="19">
        <f t="shared" si="0"/>
        <v>100.1754059493806</v>
      </c>
      <c r="H23" s="17">
        <f t="shared" si="1"/>
        <v>15.719545376598958</v>
      </c>
      <c r="I23" s="21"/>
      <c r="J23" s="21"/>
      <c r="K23" s="23"/>
      <c r="L23" s="26">
        <f>COUNTIF($F$3:F23,"&gt;"&amp;E23)</f>
        <v>5</v>
      </c>
      <c r="M23" s="21"/>
      <c r="N23" s="26"/>
      <c r="O23" s="17">
        <f t="shared" si="2"/>
        <v>19.788084830373009</v>
      </c>
      <c r="P23" s="2"/>
      <c r="R23" s="23"/>
      <c r="S23" s="26">
        <v>100</v>
      </c>
      <c r="T23" s="26">
        <f t="shared" si="3"/>
        <v>23</v>
      </c>
      <c r="U23" s="26">
        <v>100</v>
      </c>
      <c r="V23" s="9">
        <f t="shared" si="4"/>
        <v>20</v>
      </c>
    </row>
    <row r="24" spans="2:22" x14ac:dyDescent="0.25">
      <c r="B24" s="11">
        <f t="shared" si="5"/>
        <v>22</v>
      </c>
      <c r="C24" s="14">
        <v>9.2574729430672615</v>
      </c>
      <c r="D24" s="17">
        <v>3.4606793851483606</v>
      </c>
      <c r="E24" s="19">
        <v>89.644794062074851</v>
      </c>
      <c r="F24" s="19">
        <f t="shared" si="6"/>
        <v>100.1754059493806</v>
      </c>
      <c r="G24" s="19">
        <f t="shared" si="0"/>
        <v>103.63608533452897</v>
      </c>
      <c r="H24" s="17">
        <f t="shared" si="1"/>
        <v>10.530611887305753</v>
      </c>
      <c r="I24" s="21"/>
      <c r="J24" s="21"/>
      <c r="K24" s="23"/>
      <c r="L24" s="26">
        <f>COUNTIF($F$3:F24,"&gt;"&amp;E24)</f>
        <v>3</v>
      </c>
      <c r="M24" s="21"/>
      <c r="N24" s="26"/>
      <c r="O24" s="17">
        <f t="shared" si="2"/>
        <v>13.99129127245412</v>
      </c>
      <c r="P24" s="2"/>
      <c r="R24" s="23"/>
      <c r="S24" s="26">
        <v>105</v>
      </c>
      <c r="T24" s="26">
        <f t="shared" si="3"/>
        <v>25</v>
      </c>
      <c r="U24" s="26">
        <v>105</v>
      </c>
      <c r="V24" s="9">
        <f t="shared" si="4"/>
        <v>22</v>
      </c>
    </row>
    <row r="25" spans="2:22" x14ac:dyDescent="0.25">
      <c r="B25" s="11">
        <f t="shared" si="5"/>
        <v>23</v>
      </c>
      <c r="C25" s="14">
        <v>6.9461654587788315</v>
      </c>
      <c r="D25" s="17">
        <v>3.4191333533563335</v>
      </c>
      <c r="E25" s="19">
        <v>96.590959520853687</v>
      </c>
      <c r="F25" s="19">
        <f t="shared" si="6"/>
        <v>103.63608533452897</v>
      </c>
      <c r="G25" s="19">
        <f t="shared" si="0"/>
        <v>107.0552186878853</v>
      </c>
      <c r="H25" s="17">
        <f t="shared" si="1"/>
        <v>7.0451258136752841</v>
      </c>
      <c r="I25" s="21"/>
      <c r="J25" s="21"/>
      <c r="K25" s="23"/>
      <c r="L25" s="26">
        <f>COUNTIF($F$3:F25,"&gt;"&amp;E25)</f>
        <v>2</v>
      </c>
      <c r="M25" s="21"/>
      <c r="N25" s="26"/>
      <c r="O25" s="17">
        <f t="shared" si="2"/>
        <v>10.464259167031614</v>
      </c>
      <c r="P25" s="2"/>
      <c r="R25" s="23"/>
      <c r="S25" s="26">
        <v>110</v>
      </c>
      <c r="T25" s="26">
        <f t="shared" si="3"/>
        <v>26</v>
      </c>
      <c r="U25" s="26">
        <v>110</v>
      </c>
      <c r="V25" s="9">
        <f t="shared" si="4"/>
        <v>23</v>
      </c>
    </row>
    <row r="26" spans="2:22" x14ac:dyDescent="0.25">
      <c r="B26" s="11">
        <f t="shared" si="5"/>
        <v>24</v>
      </c>
      <c r="C26" s="14">
        <v>5.3889040253514171</v>
      </c>
      <c r="D26" s="17">
        <v>3.2780317765847129</v>
      </c>
      <c r="E26" s="19">
        <v>101.97986354620511</v>
      </c>
      <c r="F26" s="19">
        <f t="shared" si="6"/>
        <v>107.0552186878853</v>
      </c>
      <c r="G26" s="19">
        <f t="shared" si="0"/>
        <v>110.33325046447001</v>
      </c>
      <c r="H26" s="17">
        <f t="shared" si="1"/>
        <v>5.0753551416801912</v>
      </c>
      <c r="I26" s="21"/>
      <c r="J26" s="21"/>
      <c r="K26" s="23"/>
      <c r="L26" s="26">
        <f>COUNTIF($F$3:F26,"&gt;"&amp;E26)</f>
        <v>2</v>
      </c>
      <c r="M26" s="21"/>
      <c r="N26" s="26"/>
      <c r="O26" s="17">
        <f t="shared" si="2"/>
        <v>8.3533869182649028</v>
      </c>
      <c r="P26" s="2"/>
      <c r="R26" s="23"/>
      <c r="S26" s="26">
        <v>115</v>
      </c>
      <c r="T26" s="26">
        <f t="shared" si="3"/>
        <v>27</v>
      </c>
      <c r="U26" s="26">
        <v>115</v>
      </c>
      <c r="V26" s="9">
        <f t="shared" si="4"/>
        <v>25</v>
      </c>
    </row>
    <row r="27" spans="2:22" ht="15.75" thickBot="1" x14ac:dyDescent="0.3">
      <c r="B27" s="11">
        <f t="shared" si="5"/>
        <v>25</v>
      </c>
      <c r="C27" s="14">
        <v>0.98670266852717892</v>
      </c>
      <c r="D27" s="17">
        <v>3.6767631278578494</v>
      </c>
      <c r="E27" s="19">
        <v>102.96656621473228</v>
      </c>
      <c r="F27" s="19">
        <f t="shared" si="6"/>
        <v>110.33325046447001</v>
      </c>
      <c r="G27" s="19">
        <f t="shared" si="0"/>
        <v>114.01001359232787</v>
      </c>
      <c r="H27" s="17">
        <f t="shared" si="1"/>
        <v>7.3666842497377303</v>
      </c>
      <c r="I27" s="21"/>
      <c r="J27" s="21"/>
      <c r="K27" s="23"/>
      <c r="L27" s="26">
        <f>COUNTIF($F$3:F27,"&gt;"&amp;E27)</f>
        <v>3</v>
      </c>
      <c r="M27" s="21"/>
      <c r="N27" s="26"/>
      <c r="O27" s="17">
        <f t="shared" si="2"/>
        <v>11.043447377595584</v>
      </c>
      <c r="P27" s="5"/>
      <c r="Q27" s="6"/>
      <c r="R27" s="25"/>
      <c r="S27" s="27">
        <v>120</v>
      </c>
      <c r="T27" s="27">
        <f t="shared" si="3"/>
        <v>33</v>
      </c>
      <c r="U27" s="27">
        <v>120</v>
      </c>
      <c r="V27" s="38">
        <f t="shared" si="4"/>
        <v>26</v>
      </c>
    </row>
    <row r="28" spans="2:22" ht="15.75" thickTop="1" x14ac:dyDescent="0.25">
      <c r="B28" s="11">
        <f t="shared" si="5"/>
        <v>26</v>
      </c>
      <c r="C28" s="14">
        <v>6.0641475737658279</v>
      </c>
      <c r="D28" s="17">
        <v>3.912485067424937</v>
      </c>
      <c r="E28" s="19">
        <v>109.0307137884981</v>
      </c>
      <c r="F28" s="19">
        <f t="shared" si="6"/>
        <v>114.01001359232787</v>
      </c>
      <c r="G28" s="19">
        <f t="shared" si="0"/>
        <v>117.9224986597528</v>
      </c>
      <c r="H28" s="17">
        <f t="shared" si="1"/>
        <v>4.9792998038297611</v>
      </c>
      <c r="I28" s="21"/>
      <c r="J28" s="21"/>
      <c r="K28" s="23"/>
      <c r="L28" s="26">
        <f>COUNTIF($F$3:F28,"&gt;"&amp;E28)</f>
        <v>2</v>
      </c>
      <c r="M28" s="21"/>
      <c r="N28" s="26"/>
      <c r="O28" s="7">
        <f t="shared" si="2"/>
        <v>8.8917848712546999</v>
      </c>
      <c r="P28" s="2"/>
    </row>
    <row r="29" spans="2:22" x14ac:dyDescent="0.25">
      <c r="B29" s="11">
        <f t="shared" si="5"/>
        <v>27</v>
      </c>
      <c r="C29" s="14">
        <v>4.8326451926145877</v>
      </c>
      <c r="D29" s="17">
        <v>3.3614420257029516</v>
      </c>
      <c r="E29" s="19">
        <v>113.8633589811127</v>
      </c>
      <c r="F29" s="19">
        <f t="shared" si="6"/>
        <v>117.9224986597528</v>
      </c>
      <c r="G29" s="19">
        <f t="shared" si="0"/>
        <v>121.28394068545576</v>
      </c>
      <c r="H29" s="17">
        <f t="shared" si="1"/>
        <v>4.0591396786401077</v>
      </c>
      <c r="I29" s="21"/>
      <c r="J29" s="21"/>
      <c r="K29" s="23"/>
      <c r="L29" s="26">
        <f>COUNTIF($F$3:F29,"&gt;"&amp;E29)</f>
        <v>2</v>
      </c>
      <c r="M29" s="21"/>
      <c r="N29" s="26"/>
      <c r="O29" s="7">
        <f t="shared" si="2"/>
        <v>7.4205817043430642</v>
      </c>
      <c r="P29" s="2"/>
    </row>
    <row r="30" spans="2:22" x14ac:dyDescent="0.25">
      <c r="B30" s="11">
        <f t="shared" si="5"/>
        <v>28</v>
      </c>
      <c r="C30" s="14">
        <v>1.3600380565460199</v>
      </c>
      <c r="D30" s="17">
        <v>2.8591655669274498</v>
      </c>
      <c r="E30" s="19">
        <v>115.22339703765871</v>
      </c>
      <c r="F30" s="19">
        <f t="shared" si="6"/>
        <v>121.28394068545576</v>
      </c>
      <c r="G30" s="19">
        <f t="shared" si="0"/>
        <v>124.14310625238321</v>
      </c>
      <c r="H30" s="17">
        <f t="shared" si="1"/>
        <v>6.0605436477970471</v>
      </c>
      <c r="I30" s="21"/>
      <c r="J30" s="21"/>
      <c r="K30" s="23"/>
      <c r="L30" s="26">
        <f>COUNTIF($F$3:F30,"&gt;"&amp;E30)</f>
        <v>2</v>
      </c>
      <c r="M30" s="21"/>
      <c r="N30" s="26"/>
      <c r="O30" s="7">
        <f t="shared" si="2"/>
        <v>8.9197092147244916</v>
      </c>
      <c r="P30" s="2"/>
    </row>
    <row r="31" spans="2:22" x14ac:dyDescent="0.25">
      <c r="B31" s="11">
        <f t="shared" si="5"/>
        <v>29</v>
      </c>
      <c r="C31" s="14">
        <v>1.9116191663717819</v>
      </c>
      <c r="D31" s="17">
        <v>3.890406963643561</v>
      </c>
      <c r="E31" s="19">
        <v>117.13501620403049</v>
      </c>
      <c r="F31" s="19">
        <f t="shared" si="6"/>
        <v>124.14310625238321</v>
      </c>
      <c r="G31" s="19">
        <f t="shared" si="0"/>
        <v>128.03351321602676</v>
      </c>
      <c r="H31" s="17">
        <f t="shared" si="1"/>
        <v>7.0080900483527131</v>
      </c>
      <c r="I31" s="21"/>
      <c r="J31" s="21"/>
      <c r="K31" s="23"/>
      <c r="L31" s="26">
        <f>COUNTIF($F$3:F31,"&gt;"&amp;E31)</f>
        <v>3</v>
      </c>
      <c r="M31" s="21"/>
      <c r="N31" s="26"/>
      <c r="O31" s="7">
        <f t="shared" si="2"/>
        <v>10.89849701199627</v>
      </c>
      <c r="P31" s="2"/>
    </row>
    <row r="32" spans="2:22" x14ac:dyDescent="0.25">
      <c r="B32" s="11">
        <f t="shared" si="5"/>
        <v>30</v>
      </c>
      <c r="C32" s="14">
        <v>0.26398137461444238</v>
      </c>
      <c r="D32" s="17">
        <v>4.3099406276803709</v>
      </c>
      <c r="E32" s="19">
        <v>117.39899757864494</v>
      </c>
      <c r="F32" s="19">
        <f t="shared" si="6"/>
        <v>128.03351321602676</v>
      </c>
      <c r="G32" s="19">
        <f t="shared" si="0"/>
        <v>132.34345384370712</v>
      </c>
      <c r="H32" s="17">
        <f t="shared" si="1"/>
        <v>10.634515637381824</v>
      </c>
      <c r="I32" s="21"/>
      <c r="J32" s="21"/>
      <c r="K32" s="23"/>
      <c r="L32" s="26">
        <f>COUNTIF($F$3:F32,"&gt;"&amp;E32)</f>
        <v>4</v>
      </c>
      <c r="M32" s="21"/>
      <c r="N32" s="26"/>
      <c r="O32" s="7">
        <f t="shared" si="2"/>
        <v>14.944456265062186</v>
      </c>
      <c r="P32" s="2"/>
    </row>
    <row r="33" spans="1:36" x14ac:dyDescent="0.25">
      <c r="B33" s="11">
        <f t="shared" si="5"/>
        <v>31</v>
      </c>
      <c r="C33" s="14">
        <v>0.22276127830949827</v>
      </c>
      <c r="D33" s="17">
        <v>3.5416162896690286</v>
      </c>
      <c r="E33" s="19">
        <v>117.62175885695443</v>
      </c>
      <c r="F33" s="19">
        <f t="shared" si="6"/>
        <v>132.34345384370712</v>
      </c>
      <c r="G33" s="19">
        <f t="shared" si="0"/>
        <v>135.88507013337616</v>
      </c>
      <c r="H33" s="17">
        <f t="shared" si="1"/>
        <v>14.721694986752695</v>
      </c>
      <c r="I33" s="21"/>
      <c r="J33" s="21"/>
      <c r="K33" s="23"/>
      <c r="L33" s="26">
        <f>COUNTIF($F$3:F33,"&gt;"&amp;E33)</f>
        <v>5</v>
      </c>
      <c r="M33" s="21"/>
      <c r="N33" s="26"/>
      <c r="O33" s="7">
        <f t="shared" si="2"/>
        <v>18.263311276421732</v>
      </c>
      <c r="P33" s="2"/>
    </row>
    <row r="34" spans="1:36" x14ac:dyDescent="0.25">
      <c r="B34" s="11">
        <f t="shared" si="5"/>
        <v>32</v>
      </c>
      <c r="C34" s="14">
        <v>0.3990049560267977</v>
      </c>
      <c r="D34" s="17">
        <v>3.9497807449385314</v>
      </c>
      <c r="E34" s="19">
        <v>118.02076381298123</v>
      </c>
      <c r="F34" s="19">
        <f t="shared" si="6"/>
        <v>135.88507013337616</v>
      </c>
      <c r="G34" s="19">
        <f t="shared" si="0"/>
        <v>139.83485087831468</v>
      </c>
      <c r="H34" s="17">
        <f t="shared" si="1"/>
        <v>17.864306320394931</v>
      </c>
      <c r="I34" s="21"/>
      <c r="J34" s="21"/>
      <c r="K34" s="23"/>
      <c r="L34" s="26">
        <f>COUNTIF($F$3:F34,"&gt;"&amp;E34)</f>
        <v>5</v>
      </c>
      <c r="M34" s="21"/>
      <c r="N34" s="26"/>
      <c r="O34" s="7">
        <f t="shared" si="2"/>
        <v>21.814087065333453</v>
      </c>
      <c r="P34" s="2"/>
    </row>
    <row r="35" spans="1:36" ht="15.75" thickBot="1" x14ac:dyDescent="0.3">
      <c r="B35" s="12">
        <f t="shared" si="5"/>
        <v>33</v>
      </c>
      <c r="C35" s="15">
        <v>1.1333814852060768</v>
      </c>
      <c r="D35" s="18">
        <v>2.7691043327546936</v>
      </c>
      <c r="E35" s="20">
        <v>119.1541452981873</v>
      </c>
      <c r="F35" s="20">
        <f t="shared" si="6"/>
        <v>139.83485087831468</v>
      </c>
      <c r="G35" s="20">
        <f t="shared" si="0"/>
        <v>142.60395521106938</v>
      </c>
      <c r="H35" s="18">
        <f t="shared" si="1"/>
        <v>20.68070558012738</v>
      </c>
      <c r="I35" s="22"/>
      <c r="J35" s="22"/>
      <c r="K35" s="25"/>
      <c r="L35" s="27">
        <f>COUNTIF($F$3:F35,"&gt;"&amp;E35)</f>
        <v>6</v>
      </c>
      <c r="M35" s="22"/>
      <c r="N35" s="27"/>
      <c r="O35" s="8">
        <f t="shared" si="2"/>
        <v>23.449809912882074</v>
      </c>
      <c r="P35" s="2"/>
    </row>
    <row r="36" spans="1:36" ht="15.75" thickTop="1" x14ac:dyDescent="0.25">
      <c r="A36" s="39"/>
      <c r="B36" s="45"/>
      <c r="C36" s="46"/>
      <c r="D36" s="46"/>
      <c r="E36" s="47"/>
      <c r="F36" s="47"/>
      <c r="G36" s="47"/>
      <c r="H36" s="46"/>
      <c r="I36" s="48"/>
      <c r="J36" s="48"/>
      <c r="K36" s="48"/>
      <c r="L36" s="45"/>
      <c r="M36" s="48"/>
      <c r="N36" s="45"/>
      <c r="O36" s="41"/>
      <c r="P36" s="40"/>
    </row>
    <row r="37" spans="1:36" x14ac:dyDescent="0.25">
      <c r="A37" s="39"/>
      <c r="B37" s="40"/>
      <c r="C37" s="41"/>
      <c r="D37" s="41"/>
      <c r="E37" s="42"/>
      <c r="F37" s="42"/>
      <c r="G37" s="42"/>
      <c r="H37" s="41"/>
      <c r="I37" s="39"/>
      <c r="J37" s="39"/>
      <c r="K37" s="39"/>
      <c r="L37" s="40"/>
      <c r="M37" s="39"/>
      <c r="N37" s="40"/>
      <c r="O37" s="41"/>
      <c r="P37" s="40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</row>
    <row r="38" spans="1:36" x14ac:dyDescent="0.25">
      <c r="A38" s="39"/>
      <c r="B38" s="40"/>
      <c r="C38" s="41"/>
      <c r="D38" s="41"/>
      <c r="E38" s="42"/>
      <c r="F38" s="42"/>
      <c r="G38" s="42"/>
      <c r="H38" s="41"/>
      <c r="I38" s="39"/>
      <c r="J38" s="39"/>
      <c r="K38" s="39"/>
      <c r="L38" s="40"/>
      <c r="M38" s="39"/>
      <c r="N38" s="40"/>
      <c r="O38" s="41"/>
      <c r="P38" s="40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</row>
    <row r="39" spans="1:36" x14ac:dyDescent="0.25">
      <c r="A39" s="39"/>
      <c r="B39" s="40"/>
      <c r="C39" s="41"/>
      <c r="D39" s="41"/>
      <c r="E39" s="42"/>
      <c r="F39" s="42"/>
      <c r="G39" s="42"/>
      <c r="H39" s="41"/>
      <c r="I39" s="39"/>
      <c r="J39" s="39"/>
      <c r="K39" s="39"/>
      <c r="L39" s="40"/>
      <c r="M39" s="39"/>
      <c r="N39" s="40"/>
      <c r="O39" s="41"/>
      <c r="P39" s="40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</row>
    <row r="40" spans="1:36" x14ac:dyDescent="0.25">
      <c r="A40" s="39"/>
      <c r="B40" s="40"/>
      <c r="C40" s="41"/>
      <c r="D40" s="41"/>
      <c r="E40" s="42"/>
      <c r="F40" s="42"/>
      <c r="G40" s="42"/>
      <c r="H40" s="41"/>
      <c r="I40" s="39"/>
      <c r="J40" s="39"/>
      <c r="K40" s="39"/>
      <c r="L40" s="40"/>
      <c r="M40" s="39"/>
      <c r="N40" s="40"/>
      <c r="O40" s="41"/>
      <c r="P40" s="40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</row>
    <row r="41" spans="1:36" x14ac:dyDescent="0.25">
      <c r="A41" s="39"/>
      <c r="B41" s="40"/>
      <c r="C41" s="41"/>
      <c r="D41" s="41"/>
      <c r="E41" s="42"/>
      <c r="F41" s="42"/>
      <c r="G41" s="42"/>
      <c r="H41" s="41"/>
      <c r="I41" s="39"/>
      <c r="J41" s="39"/>
      <c r="K41" s="39"/>
      <c r="L41" s="40"/>
      <c r="M41" s="39"/>
      <c r="N41" s="40"/>
      <c r="O41" s="41"/>
      <c r="P41" s="40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</row>
    <row r="42" spans="1:36" x14ac:dyDescent="0.25">
      <c r="A42" s="39"/>
      <c r="B42" s="40"/>
      <c r="C42" s="41"/>
      <c r="D42" s="41"/>
      <c r="E42" s="42"/>
      <c r="F42" s="42"/>
      <c r="G42" s="42"/>
      <c r="H42" s="41"/>
      <c r="I42" s="39"/>
      <c r="J42" s="39"/>
      <c r="K42" s="39"/>
      <c r="L42" s="40"/>
      <c r="M42" s="39"/>
      <c r="N42" s="40"/>
      <c r="O42" s="41"/>
      <c r="P42" s="40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</row>
    <row r="43" spans="1:36" x14ac:dyDescent="0.25">
      <c r="A43" s="39"/>
      <c r="B43" s="40"/>
      <c r="C43" s="41"/>
      <c r="D43" s="41"/>
      <c r="E43" s="42"/>
      <c r="F43" s="42"/>
      <c r="G43" s="42"/>
      <c r="H43" s="41"/>
      <c r="I43" s="39"/>
      <c r="J43" s="39"/>
      <c r="K43" s="39"/>
      <c r="L43" s="40"/>
      <c r="M43" s="39"/>
      <c r="N43" s="40"/>
      <c r="O43" s="41"/>
      <c r="P43" s="40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</row>
    <row r="44" spans="1:36" x14ac:dyDescent="0.25">
      <c r="A44" s="39"/>
      <c r="B44" s="40"/>
      <c r="C44" s="41"/>
      <c r="D44" s="41"/>
      <c r="E44" s="42"/>
      <c r="F44" s="42"/>
      <c r="G44" s="42"/>
      <c r="H44" s="41"/>
      <c r="I44" s="39"/>
      <c r="J44" s="39"/>
      <c r="K44" s="39"/>
      <c r="L44" s="40"/>
      <c r="M44" s="39"/>
      <c r="N44" s="40"/>
      <c r="O44" s="41"/>
      <c r="P44" s="40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</row>
    <row r="45" spans="1:36" x14ac:dyDescent="0.25">
      <c r="A45" s="39"/>
      <c r="B45" s="40"/>
      <c r="C45" s="41"/>
      <c r="D45" s="41"/>
      <c r="E45" s="42"/>
      <c r="F45" s="42"/>
      <c r="G45" s="42"/>
      <c r="H45" s="41"/>
      <c r="I45" s="39"/>
      <c r="J45" s="39"/>
      <c r="K45" s="39"/>
      <c r="L45" s="40"/>
      <c r="M45" s="39"/>
      <c r="N45" s="40"/>
      <c r="O45" s="41"/>
      <c r="P45" s="40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</row>
    <row r="46" spans="1:36" x14ac:dyDescent="0.25">
      <c r="A46" s="39"/>
      <c r="B46" s="40"/>
      <c r="C46" s="41"/>
      <c r="D46" s="41"/>
      <c r="E46" s="42"/>
      <c r="F46" s="42"/>
      <c r="G46" s="42"/>
      <c r="H46" s="41"/>
      <c r="I46" s="39"/>
      <c r="J46" s="39"/>
      <c r="K46" s="39"/>
      <c r="L46" s="40"/>
      <c r="M46" s="39"/>
      <c r="N46" s="40"/>
      <c r="O46" s="41"/>
      <c r="P46" s="40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</row>
    <row r="47" spans="1:36" x14ac:dyDescent="0.25">
      <c r="A47" s="39"/>
      <c r="B47" s="40"/>
      <c r="C47" s="41"/>
      <c r="D47" s="41"/>
      <c r="E47" s="42"/>
      <c r="F47" s="42"/>
      <c r="G47" s="42"/>
      <c r="H47" s="41"/>
      <c r="I47" s="39"/>
      <c r="J47" s="39"/>
      <c r="K47" s="39"/>
      <c r="L47" s="40"/>
      <c r="M47" s="39"/>
      <c r="N47" s="40"/>
      <c r="O47" s="41"/>
      <c r="P47" s="40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</row>
    <row r="48" spans="1:36" x14ac:dyDescent="0.25">
      <c r="A48" s="39"/>
      <c r="B48" s="40"/>
      <c r="C48" s="41"/>
      <c r="D48" s="41"/>
      <c r="E48" s="42"/>
      <c r="F48" s="42"/>
      <c r="G48" s="42"/>
      <c r="H48" s="41"/>
      <c r="I48" s="39"/>
      <c r="J48" s="39"/>
      <c r="K48" s="39"/>
      <c r="L48" s="40"/>
      <c r="M48" s="39"/>
      <c r="N48" s="40"/>
      <c r="O48" s="41"/>
      <c r="P48" s="40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</row>
    <row r="49" spans="1:36" x14ac:dyDescent="0.25">
      <c r="A49" s="39"/>
      <c r="B49" s="40"/>
      <c r="C49" s="41"/>
      <c r="D49" s="41"/>
      <c r="E49" s="43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</row>
    <row r="50" spans="1:36" x14ac:dyDescent="0.25">
      <c r="A50" s="39"/>
      <c r="B50" s="40"/>
      <c r="C50" s="41"/>
      <c r="D50" s="41"/>
      <c r="E50" s="43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</row>
    <row r="51" spans="1:36" x14ac:dyDescent="0.25">
      <c r="A51" s="39"/>
      <c r="B51" s="40"/>
      <c r="C51" s="41"/>
      <c r="D51" s="41"/>
      <c r="E51" s="43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</row>
    <row r="52" spans="1:36" x14ac:dyDescent="0.25">
      <c r="A52" s="39"/>
      <c r="B52" s="40"/>
      <c r="C52" s="41">
        <f ca="1">-LN(1-RAND())*(1/0.3)</f>
        <v>2.3226923268499844</v>
      </c>
      <c r="D52" s="41">
        <f ca="1">2*RAND()+2.5</f>
        <v>4.4750991702359961</v>
      </c>
      <c r="E52" s="43">
        <f ca="1">C52</f>
        <v>2.3226923268499844</v>
      </c>
      <c r="F52" s="39"/>
      <c r="G52" s="39"/>
      <c r="H52" s="44">
        <v>5.4771247950258841</v>
      </c>
      <c r="I52" s="44">
        <v>4.0570541636351232</v>
      </c>
      <c r="J52" s="44">
        <f>H52</f>
        <v>5.4771247950258841</v>
      </c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</row>
    <row r="53" spans="1:36" x14ac:dyDescent="0.25">
      <c r="B53" s="2"/>
      <c r="C53" s="3">
        <f t="shared" ref="C53:C116" ca="1" si="7">-LN(1-RAND())*(1/0.3)</f>
        <v>2.3772523420673739</v>
      </c>
      <c r="D53" s="3">
        <f t="shared" ref="D53:D116" ca="1" si="8">2*RAND()+2.5</f>
        <v>3.2192475715252877</v>
      </c>
      <c r="E53" s="1"/>
      <c r="H53" s="37">
        <v>4.6525716024363595</v>
      </c>
      <c r="I53" s="37">
        <v>4.3541057171754023</v>
      </c>
      <c r="J53" s="37">
        <f>J52+H53</f>
        <v>10.129696397462244</v>
      </c>
    </row>
    <row r="54" spans="1:36" x14ac:dyDescent="0.25">
      <c r="B54" s="2"/>
      <c r="C54" s="3">
        <f t="shared" ca="1" si="7"/>
        <v>7.2986947094299772</v>
      </c>
      <c r="D54" s="3">
        <f t="shared" ca="1" si="8"/>
        <v>2.9404870987115315</v>
      </c>
      <c r="E54" s="1"/>
      <c r="H54" s="37">
        <v>14.161699437512796</v>
      </c>
      <c r="I54" s="37">
        <v>3.1583448947280193</v>
      </c>
      <c r="J54" s="37">
        <f t="shared" ref="J54:J117" si="9">J53+H54</f>
        <v>24.291395834975042</v>
      </c>
    </row>
    <row r="55" spans="1:36" x14ac:dyDescent="0.25">
      <c r="B55" s="2"/>
      <c r="C55" s="3">
        <f t="shared" ca="1" si="7"/>
        <v>0.40661842328615172</v>
      </c>
      <c r="D55" s="3">
        <f t="shared" ca="1" si="8"/>
        <v>3.2558122580167996</v>
      </c>
      <c r="E55" s="1"/>
      <c r="H55" s="37">
        <v>7.8231854947825097</v>
      </c>
      <c r="I55" s="37">
        <v>3.4812288357894925</v>
      </c>
      <c r="J55" s="37">
        <f t="shared" si="9"/>
        <v>32.114581329757549</v>
      </c>
    </row>
    <row r="56" spans="1:36" x14ac:dyDescent="0.25">
      <c r="B56" s="2"/>
      <c r="C56" s="3">
        <f t="shared" ca="1" si="7"/>
        <v>2.8383431228370566</v>
      </c>
      <c r="D56" s="3">
        <f t="shared" ca="1" si="8"/>
        <v>4.1569368846211603</v>
      </c>
      <c r="E56" s="1"/>
      <c r="H56" s="37">
        <v>4.7995843316063382</v>
      </c>
      <c r="I56" s="37">
        <v>3.9006422092561053</v>
      </c>
      <c r="J56" s="37">
        <f t="shared" si="9"/>
        <v>36.914165661363889</v>
      </c>
    </row>
    <row r="57" spans="1:36" x14ac:dyDescent="0.25">
      <c r="B57" s="2"/>
      <c r="C57" s="3">
        <f t="shared" ca="1" si="7"/>
        <v>1.7159228836895832</v>
      </c>
      <c r="D57" s="3">
        <f t="shared" ca="1" si="8"/>
        <v>3.1378996197142368</v>
      </c>
      <c r="E57" s="1"/>
      <c r="H57" s="37">
        <v>0.23466510455794784</v>
      </c>
      <c r="I57" s="37">
        <v>2.9422348067307702</v>
      </c>
      <c r="J57" s="37">
        <f t="shared" si="9"/>
        <v>37.148830765921836</v>
      </c>
    </row>
    <row r="58" spans="1:36" x14ac:dyDescent="0.25">
      <c r="B58" s="2"/>
      <c r="C58" s="3">
        <f t="shared" ca="1" si="7"/>
        <v>0.57741124849322667</v>
      </c>
      <c r="D58" s="3">
        <f t="shared" ca="1" si="8"/>
        <v>3.1315912538608073</v>
      </c>
      <c r="E58" s="1"/>
      <c r="H58" s="37">
        <v>0.47649264010912667</v>
      </c>
      <c r="I58" s="37">
        <v>2.5484221214648581</v>
      </c>
      <c r="J58" s="37">
        <f t="shared" si="9"/>
        <v>37.625323406030965</v>
      </c>
    </row>
    <row r="59" spans="1:36" x14ac:dyDescent="0.25">
      <c r="B59" s="2"/>
      <c r="C59" s="3">
        <f t="shared" ca="1" si="7"/>
        <v>2.9899456396656836</v>
      </c>
      <c r="D59" s="3">
        <f t="shared" ca="1" si="8"/>
        <v>3.9703666531276096</v>
      </c>
      <c r="E59" s="1"/>
      <c r="H59" s="37">
        <v>3.4758226702996309</v>
      </c>
      <c r="I59" s="37">
        <v>3.9075115697544796</v>
      </c>
      <c r="J59" s="37">
        <f t="shared" si="9"/>
        <v>41.101146076330593</v>
      </c>
    </row>
    <row r="60" spans="1:36" x14ac:dyDescent="0.25">
      <c r="B60" s="2"/>
      <c r="C60" s="3">
        <f t="shared" ca="1" si="7"/>
        <v>1.4979170363662222E-2</v>
      </c>
      <c r="D60" s="3">
        <f t="shared" ca="1" si="8"/>
        <v>2.7720345066395495</v>
      </c>
      <c r="E60" s="1"/>
      <c r="H60" s="37">
        <v>5.0151242322029139</v>
      </c>
      <c r="I60" s="37">
        <v>3.7630770695090296</v>
      </c>
      <c r="J60" s="37">
        <f t="shared" si="9"/>
        <v>46.116270308533508</v>
      </c>
    </row>
    <row r="61" spans="1:36" x14ac:dyDescent="0.25">
      <c r="B61" s="2"/>
      <c r="C61" s="3">
        <f t="shared" ca="1" si="7"/>
        <v>5.9220952614364188</v>
      </c>
      <c r="D61" s="3">
        <f t="shared" ca="1" si="8"/>
        <v>3.2212334829860207</v>
      </c>
      <c r="E61" s="1"/>
      <c r="H61" s="37">
        <v>3.5345200132770693</v>
      </c>
      <c r="I61" s="37">
        <v>4.3559119780261444</v>
      </c>
      <c r="J61" s="37">
        <f t="shared" si="9"/>
        <v>49.650790321810575</v>
      </c>
    </row>
    <row r="62" spans="1:36" x14ac:dyDescent="0.25">
      <c r="B62" s="2"/>
      <c r="C62" s="3">
        <f t="shared" ca="1" si="7"/>
        <v>0.29746890386197511</v>
      </c>
      <c r="D62" s="3">
        <f t="shared" ca="1" si="8"/>
        <v>2.9126026658251192</v>
      </c>
      <c r="E62" s="1"/>
      <c r="H62" s="37">
        <v>11.32362030617991</v>
      </c>
      <c r="I62" s="37">
        <v>3.2537684411070087</v>
      </c>
      <c r="J62" s="37">
        <f t="shared" si="9"/>
        <v>60.974410627990487</v>
      </c>
    </row>
    <row r="63" spans="1:36" x14ac:dyDescent="0.25">
      <c r="B63" s="2"/>
      <c r="C63" s="3">
        <f t="shared" ca="1" si="7"/>
        <v>8.0484706003506279</v>
      </c>
      <c r="D63" s="3">
        <f t="shared" ca="1" si="8"/>
        <v>4.0133897830659135</v>
      </c>
      <c r="E63" s="1"/>
      <c r="H63" s="37">
        <v>2.9257408919149896</v>
      </c>
      <c r="I63" s="37">
        <v>3.518219020810045</v>
      </c>
      <c r="J63" s="37">
        <f t="shared" si="9"/>
        <v>63.900151519905478</v>
      </c>
    </row>
    <row r="64" spans="1:36" x14ac:dyDescent="0.25">
      <c r="B64" s="2"/>
      <c r="C64" s="3">
        <f t="shared" ca="1" si="7"/>
        <v>1.1144172551492271</v>
      </c>
      <c r="D64" s="3">
        <f t="shared" ca="1" si="8"/>
        <v>3.5479119586508343</v>
      </c>
      <c r="E64" s="1"/>
      <c r="H64" s="37">
        <v>1.2218121682125618</v>
      </c>
      <c r="I64" s="37">
        <v>3.2619232904634483</v>
      </c>
      <c r="J64" s="37">
        <f t="shared" si="9"/>
        <v>65.121963688118043</v>
      </c>
    </row>
    <row r="65" spans="2:10" x14ac:dyDescent="0.25">
      <c r="B65" s="2"/>
      <c r="C65" s="3">
        <f t="shared" ca="1" si="7"/>
        <v>4.8310964386278625</v>
      </c>
      <c r="D65" s="3">
        <f t="shared" ca="1" si="8"/>
        <v>3.5203476107834115</v>
      </c>
      <c r="E65" s="1"/>
      <c r="H65" s="37">
        <v>0.64223050733779774</v>
      </c>
      <c r="I65" s="37">
        <v>3.9738279168575081</v>
      </c>
      <c r="J65" s="37">
        <f t="shared" si="9"/>
        <v>65.764194195455843</v>
      </c>
    </row>
    <row r="66" spans="2:10" x14ac:dyDescent="0.25">
      <c r="B66" s="2"/>
      <c r="C66" s="3">
        <f t="shared" ca="1" si="7"/>
        <v>2.9558361464651828</v>
      </c>
      <c r="D66" s="3">
        <f t="shared" ca="1" si="8"/>
        <v>3.7693874865326435</v>
      </c>
      <c r="E66" s="1"/>
      <c r="H66" s="37">
        <v>0.48422770276786109</v>
      </c>
      <c r="I66" s="37">
        <v>2.6902561601254655</v>
      </c>
      <c r="J66" s="37">
        <f t="shared" si="9"/>
        <v>66.248421898223711</v>
      </c>
    </row>
    <row r="67" spans="2:10" x14ac:dyDescent="0.25">
      <c r="B67" s="2"/>
      <c r="C67" s="3">
        <f t="shared" ca="1" si="7"/>
        <v>2.6762905108750243</v>
      </c>
      <c r="D67" s="3">
        <f t="shared" ca="1" si="8"/>
        <v>2.6046922436789641</v>
      </c>
      <c r="E67" s="1"/>
      <c r="H67" s="37">
        <v>4.4615493056224045</v>
      </c>
      <c r="I67" s="37">
        <v>3.4927771465492938</v>
      </c>
      <c r="J67" s="37">
        <f t="shared" si="9"/>
        <v>70.709971203846109</v>
      </c>
    </row>
    <row r="68" spans="2:10" x14ac:dyDescent="0.25">
      <c r="B68" s="2"/>
      <c r="C68" s="3">
        <f t="shared" ca="1" si="7"/>
        <v>0.97535659240993888</v>
      </c>
      <c r="D68" s="3">
        <f t="shared" ca="1" si="8"/>
        <v>3.2754051048243769</v>
      </c>
      <c r="E68" s="1"/>
      <c r="H68" s="37">
        <v>1.9755720275695436</v>
      </c>
      <c r="I68" s="37">
        <v>3.6165449235854119</v>
      </c>
      <c r="J68" s="37">
        <f t="shared" si="9"/>
        <v>72.68554323141565</v>
      </c>
    </row>
    <row r="69" spans="2:10" x14ac:dyDescent="0.25">
      <c r="B69" s="2"/>
      <c r="C69" s="3">
        <f t="shared" ca="1" si="7"/>
        <v>0.27194063660097889</v>
      </c>
      <c r="D69" s="3">
        <f t="shared" ca="1" si="8"/>
        <v>3.3233038388669995</v>
      </c>
      <c r="E69" s="1"/>
      <c r="H69" s="37">
        <v>2.2601516679551938</v>
      </c>
      <c r="I69" s="37">
        <v>3.0519852043803319</v>
      </c>
      <c r="J69" s="37">
        <f t="shared" si="9"/>
        <v>74.945694899370849</v>
      </c>
    </row>
    <row r="70" spans="2:10" x14ac:dyDescent="0.25">
      <c r="B70" s="2"/>
      <c r="C70" s="3">
        <f t="shared" ca="1" si="7"/>
        <v>0.13236631089157783</v>
      </c>
      <c r="D70" s="3">
        <f t="shared" ca="1" si="8"/>
        <v>3.1532851779998055</v>
      </c>
      <c r="E70" s="1"/>
      <c r="H70" s="37">
        <v>2.4732696086968682</v>
      </c>
      <c r="I70" s="37">
        <v>3.8346417572140847</v>
      </c>
      <c r="J70" s="37">
        <f t="shared" si="9"/>
        <v>77.418964508067717</v>
      </c>
    </row>
    <row r="71" spans="2:10" x14ac:dyDescent="0.25">
      <c r="B71" s="2"/>
      <c r="C71" s="3">
        <f t="shared" ca="1" si="7"/>
        <v>0.25018409777977096</v>
      </c>
      <c r="D71" s="3">
        <f t="shared" ca="1" si="8"/>
        <v>4.3747753272710037</v>
      </c>
      <c r="E71" s="1"/>
      <c r="H71" s="37">
        <v>0.20589196558409287</v>
      </c>
      <c r="I71" s="37">
        <v>4.4385120065234771</v>
      </c>
      <c r="J71" s="37">
        <f t="shared" si="9"/>
        <v>77.624856473651803</v>
      </c>
    </row>
    <row r="72" spans="2:10" x14ac:dyDescent="0.25">
      <c r="B72" s="2"/>
      <c r="C72" s="3">
        <f t="shared" ca="1" si="7"/>
        <v>9.2011707735586672</v>
      </c>
      <c r="D72" s="3">
        <f t="shared" ca="1" si="8"/>
        <v>3.8696013305278356</v>
      </c>
      <c r="E72" s="1"/>
      <c r="H72" s="37">
        <v>2.7624646453557862</v>
      </c>
      <c r="I72" s="37">
        <v>4.0685394537740498</v>
      </c>
      <c r="J72" s="37">
        <f t="shared" si="9"/>
        <v>80.387321119007595</v>
      </c>
    </row>
    <row r="73" spans="2:10" x14ac:dyDescent="0.25">
      <c r="B73" s="2"/>
      <c r="C73" s="3">
        <f t="shared" ca="1" si="7"/>
        <v>3.9261659287347195</v>
      </c>
      <c r="D73" s="3">
        <f t="shared" ca="1" si="8"/>
        <v>2.6876489473855374</v>
      </c>
      <c r="E73" s="1"/>
      <c r="H73" s="37">
        <v>9.2574729430672615</v>
      </c>
      <c r="I73" s="37">
        <v>3.4606793851483606</v>
      </c>
      <c r="J73" s="37">
        <f t="shared" si="9"/>
        <v>89.644794062074851</v>
      </c>
    </row>
    <row r="74" spans="2:10" x14ac:dyDescent="0.25">
      <c r="B74" s="2"/>
      <c r="C74" s="3">
        <f t="shared" ca="1" si="7"/>
        <v>0.919983196747024</v>
      </c>
      <c r="D74" s="3">
        <f t="shared" ca="1" si="8"/>
        <v>3.0312059166870293</v>
      </c>
      <c r="E74" s="1"/>
      <c r="H74" s="37">
        <v>6.9461654587788315</v>
      </c>
      <c r="I74" s="37">
        <v>3.4191333533563335</v>
      </c>
      <c r="J74" s="37">
        <f t="shared" si="9"/>
        <v>96.590959520853687</v>
      </c>
    </row>
    <row r="75" spans="2:10" x14ac:dyDescent="0.25">
      <c r="B75" s="2"/>
      <c r="C75" s="3">
        <f t="shared" ca="1" si="7"/>
        <v>1.2867438230180752</v>
      </c>
      <c r="D75" s="3">
        <f t="shared" ca="1" si="8"/>
        <v>3.2949857968693714</v>
      </c>
      <c r="E75" s="1"/>
      <c r="H75" s="37">
        <v>5.3889040253514171</v>
      </c>
      <c r="I75" s="37">
        <v>3.2780317765847129</v>
      </c>
      <c r="J75" s="37">
        <f t="shared" si="9"/>
        <v>101.97986354620511</v>
      </c>
    </row>
    <row r="76" spans="2:10" x14ac:dyDescent="0.25">
      <c r="B76" s="2"/>
      <c r="C76" s="3">
        <f t="shared" ca="1" si="7"/>
        <v>0.15989294466369289</v>
      </c>
      <c r="D76" s="3">
        <f t="shared" ca="1" si="8"/>
        <v>3.9061483906449879</v>
      </c>
      <c r="E76" s="1"/>
      <c r="H76" s="37">
        <v>0.98670266852717892</v>
      </c>
      <c r="I76" s="37">
        <v>3.6767631278578494</v>
      </c>
      <c r="J76" s="37">
        <f t="shared" si="9"/>
        <v>102.96656621473228</v>
      </c>
    </row>
    <row r="77" spans="2:10" x14ac:dyDescent="0.25">
      <c r="B77" s="2"/>
      <c r="C77" s="3">
        <f t="shared" ca="1" si="7"/>
        <v>9.7229328454911457</v>
      </c>
      <c r="D77" s="3">
        <f t="shared" ca="1" si="8"/>
        <v>4.2450368800318419</v>
      </c>
      <c r="E77" s="1"/>
      <c r="H77" s="37">
        <v>6.0641475737658279</v>
      </c>
      <c r="I77" s="37">
        <v>3.912485067424937</v>
      </c>
      <c r="J77" s="37">
        <f t="shared" si="9"/>
        <v>109.0307137884981</v>
      </c>
    </row>
    <row r="78" spans="2:10" x14ac:dyDescent="0.25">
      <c r="C78" s="3">
        <f t="shared" ca="1" si="7"/>
        <v>2.1808541197725866</v>
      </c>
      <c r="D78" s="3">
        <f t="shared" ca="1" si="8"/>
        <v>3.7801892675764153</v>
      </c>
      <c r="H78" s="37">
        <v>4.8326451926145877</v>
      </c>
      <c r="I78" s="37">
        <v>3.3614420257029516</v>
      </c>
      <c r="J78" s="37">
        <f t="shared" si="9"/>
        <v>113.8633589811127</v>
      </c>
    </row>
    <row r="79" spans="2:10" x14ac:dyDescent="0.25">
      <c r="C79" s="3">
        <f t="shared" ca="1" si="7"/>
        <v>3.0596742442852514</v>
      </c>
      <c r="D79" s="3">
        <f t="shared" ca="1" si="8"/>
        <v>3.0097178655660501</v>
      </c>
      <c r="H79" s="37">
        <v>1.3600380565460199</v>
      </c>
      <c r="I79" s="37">
        <v>2.8591655669274498</v>
      </c>
      <c r="J79" s="37">
        <f t="shared" si="9"/>
        <v>115.22339703765871</v>
      </c>
    </row>
    <row r="80" spans="2:10" x14ac:dyDescent="0.25">
      <c r="C80" s="3">
        <f t="shared" ca="1" si="7"/>
        <v>7.8655455980175084</v>
      </c>
      <c r="D80" s="3">
        <f t="shared" ca="1" si="8"/>
        <v>2.6728924779516987</v>
      </c>
      <c r="H80" s="37">
        <v>1.9116191663717819</v>
      </c>
      <c r="I80" s="37">
        <v>3.890406963643561</v>
      </c>
      <c r="J80" s="37">
        <f t="shared" si="9"/>
        <v>117.13501620403049</v>
      </c>
    </row>
    <row r="81" spans="3:10" x14ac:dyDescent="0.25">
      <c r="C81" s="3">
        <f t="shared" ca="1" si="7"/>
        <v>1.0286333667516043</v>
      </c>
      <c r="D81" s="3">
        <f t="shared" ca="1" si="8"/>
        <v>2.5435051005016174</v>
      </c>
      <c r="H81" s="37">
        <v>0.26398137461444238</v>
      </c>
      <c r="I81" s="37">
        <v>4.3099406276803709</v>
      </c>
      <c r="J81" s="37">
        <f t="shared" si="9"/>
        <v>117.39899757864494</v>
      </c>
    </row>
    <row r="82" spans="3:10" x14ac:dyDescent="0.25">
      <c r="C82" s="3">
        <f t="shared" ca="1" si="7"/>
        <v>1.4508372885244492</v>
      </c>
      <c r="D82" s="3">
        <f t="shared" ca="1" si="8"/>
        <v>4.4421514423457982</v>
      </c>
      <c r="H82" s="37">
        <v>0.22276127830949827</v>
      </c>
      <c r="I82" s="37">
        <v>3.5416162896690286</v>
      </c>
      <c r="J82" s="37">
        <f t="shared" si="9"/>
        <v>117.62175885695443</v>
      </c>
    </row>
    <row r="83" spans="3:10" x14ac:dyDescent="0.25">
      <c r="C83" s="3">
        <f t="shared" ca="1" si="7"/>
        <v>1.125010254679911</v>
      </c>
      <c r="D83" s="3">
        <f t="shared" ca="1" si="8"/>
        <v>4.436657829511204</v>
      </c>
      <c r="H83" s="37">
        <v>0.3990049560267977</v>
      </c>
      <c r="I83" s="37">
        <v>3.9497807449385314</v>
      </c>
      <c r="J83" s="37">
        <f t="shared" si="9"/>
        <v>118.02076381298123</v>
      </c>
    </row>
    <row r="84" spans="3:10" x14ac:dyDescent="0.25">
      <c r="C84" s="3">
        <f t="shared" ca="1" si="7"/>
        <v>4.4634690623962694</v>
      </c>
      <c r="D84" s="3">
        <f t="shared" ca="1" si="8"/>
        <v>4.230408301843477</v>
      </c>
      <c r="H84" s="37">
        <v>1.1333814852060768</v>
      </c>
      <c r="I84" s="37">
        <v>2.7691043327546936</v>
      </c>
      <c r="J84" s="37">
        <f t="shared" si="9"/>
        <v>119.1541452981873</v>
      </c>
    </row>
    <row r="85" spans="3:10" x14ac:dyDescent="0.25">
      <c r="C85" s="3">
        <f t="shared" ca="1" si="7"/>
        <v>7.8543934623111085</v>
      </c>
      <c r="D85" s="3">
        <f t="shared" ca="1" si="8"/>
        <v>3.5564685082582672</v>
      </c>
      <c r="H85" s="1">
        <v>0.93271651645813214</v>
      </c>
      <c r="I85" s="1">
        <v>4.4162288584936622</v>
      </c>
      <c r="J85" s="1">
        <f t="shared" si="9"/>
        <v>120.08686181464543</v>
      </c>
    </row>
    <row r="86" spans="3:10" x14ac:dyDescent="0.25">
      <c r="C86" s="3">
        <f t="shared" ca="1" si="7"/>
        <v>6.6188714477649508</v>
      </c>
      <c r="D86" s="3">
        <f t="shared" ca="1" si="8"/>
        <v>3.7695684225986712</v>
      </c>
      <c r="H86" s="1">
        <v>1.9550654894105124</v>
      </c>
      <c r="I86" s="1">
        <v>4.3116170218420873</v>
      </c>
      <c r="J86" s="1">
        <f t="shared" si="9"/>
        <v>122.04192730405595</v>
      </c>
    </row>
    <row r="87" spans="3:10" x14ac:dyDescent="0.25">
      <c r="C87" s="3">
        <f t="shared" ca="1" si="7"/>
        <v>7.0164556548183112</v>
      </c>
      <c r="D87" s="3">
        <f t="shared" ca="1" si="8"/>
        <v>3.9434645890935496</v>
      </c>
      <c r="H87" s="1">
        <v>15.131040527871338</v>
      </c>
      <c r="I87" s="1">
        <v>3.8079555613874643</v>
      </c>
      <c r="J87" s="1">
        <f t="shared" si="9"/>
        <v>137.17296783192728</v>
      </c>
    </row>
    <row r="88" spans="3:10" x14ac:dyDescent="0.25">
      <c r="C88" s="3">
        <f t="shared" ca="1" si="7"/>
        <v>2.3330099204468593</v>
      </c>
      <c r="D88" s="3">
        <f t="shared" ca="1" si="8"/>
        <v>2.8875736714468121</v>
      </c>
      <c r="H88" s="1">
        <v>0.12565534083930896</v>
      </c>
      <c r="I88" s="1">
        <v>2.5560488721827275</v>
      </c>
      <c r="J88" s="1">
        <f t="shared" si="9"/>
        <v>137.29862317276658</v>
      </c>
    </row>
    <row r="89" spans="3:10" x14ac:dyDescent="0.25">
      <c r="C89" s="3">
        <f t="shared" ca="1" si="7"/>
        <v>6.3703825346076597</v>
      </c>
      <c r="D89" s="3">
        <f t="shared" ca="1" si="8"/>
        <v>2.8136872240197208</v>
      </c>
      <c r="H89" s="1">
        <v>1.6093978560561664</v>
      </c>
      <c r="I89" s="1">
        <v>2.5181964250152951</v>
      </c>
      <c r="J89" s="1">
        <f t="shared" si="9"/>
        <v>138.90802102882276</v>
      </c>
    </row>
    <row r="90" spans="3:10" x14ac:dyDescent="0.25">
      <c r="C90" s="3">
        <f t="shared" ca="1" si="7"/>
        <v>0.67914685921456242</v>
      </c>
      <c r="D90" s="3">
        <f t="shared" ca="1" si="8"/>
        <v>3.5935102880675793</v>
      </c>
      <c r="H90" s="1">
        <v>4.542949186723276E-2</v>
      </c>
      <c r="I90" s="1">
        <v>3.9902582603889751</v>
      </c>
      <c r="J90" s="1">
        <f t="shared" si="9"/>
        <v>138.95345052068998</v>
      </c>
    </row>
    <row r="91" spans="3:10" x14ac:dyDescent="0.25">
      <c r="C91" s="3">
        <f t="shared" ca="1" si="7"/>
        <v>3.1155062493492931</v>
      </c>
      <c r="D91" s="3">
        <f t="shared" ca="1" si="8"/>
        <v>4.453700999389306</v>
      </c>
      <c r="H91" s="1">
        <v>9.4955645540925744</v>
      </c>
      <c r="I91" s="1">
        <v>4.4487707089495485</v>
      </c>
      <c r="J91" s="1">
        <f t="shared" si="9"/>
        <v>148.44901507478255</v>
      </c>
    </row>
    <row r="92" spans="3:10" x14ac:dyDescent="0.25">
      <c r="C92" s="3">
        <f t="shared" ca="1" si="7"/>
        <v>1.8240484265290917</v>
      </c>
      <c r="D92" s="3">
        <f t="shared" ca="1" si="8"/>
        <v>4.4589696093225157</v>
      </c>
      <c r="H92" s="1">
        <v>2.1627439882957313</v>
      </c>
      <c r="I92" s="1">
        <v>3.099664136066461</v>
      </c>
      <c r="J92" s="1">
        <f t="shared" si="9"/>
        <v>150.6117590630783</v>
      </c>
    </row>
    <row r="93" spans="3:10" x14ac:dyDescent="0.25">
      <c r="C93" s="3">
        <f t="shared" ca="1" si="7"/>
        <v>0.71259917737444411</v>
      </c>
      <c r="D93" s="3">
        <f t="shared" ca="1" si="8"/>
        <v>3.1105989611318794</v>
      </c>
      <c r="H93" s="1">
        <v>0.99146569373896376</v>
      </c>
      <c r="I93" s="1">
        <v>3.8078711577029578</v>
      </c>
      <c r="J93" s="1">
        <f t="shared" si="9"/>
        <v>151.60322475681727</v>
      </c>
    </row>
    <row r="94" spans="3:10" x14ac:dyDescent="0.25">
      <c r="C94" s="3">
        <f t="shared" ca="1" si="7"/>
        <v>1.5625459685835077</v>
      </c>
      <c r="D94" s="3">
        <f t="shared" ca="1" si="8"/>
        <v>2.671708935317489</v>
      </c>
      <c r="H94" s="1">
        <v>4.526183615811207</v>
      </c>
      <c r="I94" s="1">
        <v>3.8006188285672282</v>
      </c>
      <c r="J94" s="1">
        <f t="shared" si="9"/>
        <v>156.12940837262849</v>
      </c>
    </row>
    <row r="95" spans="3:10" x14ac:dyDescent="0.25">
      <c r="C95" s="3">
        <f t="shared" ca="1" si="7"/>
        <v>2.7643478372102077</v>
      </c>
      <c r="D95" s="3">
        <f t="shared" ca="1" si="8"/>
        <v>3.8872045541465869</v>
      </c>
      <c r="H95" s="1">
        <v>0.40551702610603391</v>
      </c>
      <c r="I95" s="1">
        <v>3.4156267236869864</v>
      </c>
      <c r="J95" s="1">
        <f t="shared" si="9"/>
        <v>156.53492539873452</v>
      </c>
    </row>
    <row r="96" spans="3:10" x14ac:dyDescent="0.25">
      <c r="C96" s="3">
        <f t="shared" ca="1" si="7"/>
        <v>0.35929789996841038</v>
      </c>
      <c r="D96" s="3">
        <f t="shared" ca="1" si="8"/>
        <v>3.6352648004365538</v>
      </c>
      <c r="H96" s="1">
        <v>2.316751042797212</v>
      </c>
      <c r="I96" s="1">
        <v>2.5771542859163397</v>
      </c>
      <c r="J96" s="1">
        <f t="shared" si="9"/>
        <v>158.85167644153174</v>
      </c>
    </row>
    <row r="97" spans="3:10" x14ac:dyDescent="0.25">
      <c r="C97" s="3">
        <f t="shared" ca="1" si="7"/>
        <v>3.7185668918721233</v>
      </c>
      <c r="D97" s="3">
        <f t="shared" ca="1" si="8"/>
        <v>3.4223834332105847</v>
      </c>
      <c r="H97" s="1">
        <v>5.7656789293512523</v>
      </c>
      <c r="I97" s="1">
        <v>3.1252456031634743</v>
      </c>
      <c r="J97" s="1">
        <f t="shared" si="9"/>
        <v>164.61735537088299</v>
      </c>
    </row>
    <row r="98" spans="3:10" x14ac:dyDescent="0.25">
      <c r="C98" s="3">
        <f t="shared" ca="1" si="7"/>
        <v>1.0542144194084941</v>
      </c>
      <c r="D98" s="3">
        <f t="shared" ca="1" si="8"/>
        <v>2.7911820954014832</v>
      </c>
      <c r="H98" s="1">
        <v>2.3742934757653855</v>
      </c>
      <c r="I98" s="1">
        <v>4.3300410178256872</v>
      </c>
      <c r="J98" s="1">
        <f t="shared" si="9"/>
        <v>166.99164884664839</v>
      </c>
    </row>
    <row r="99" spans="3:10" x14ac:dyDescent="0.25">
      <c r="C99" s="3">
        <f t="shared" ca="1" si="7"/>
        <v>0.12646005190879153</v>
      </c>
      <c r="D99" s="3">
        <f t="shared" ca="1" si="8"/>
        <v>3.5124258277874123</v>
      </c>
      <c r="H99" s="1">
        <v>0.11045836654473866</v>
      </c>
      <c r="I99" s="1">
        <v>3.6572060308266456</v>
      </c>
      <c r="J99" s="1">
        <f t="shared" si="9"/>
        <v>167.10210721319314</v>
      </c>
    </row>
    <row r="100" spans="3:10" x14ac:dyDescent="0.25">
      <c r="C100" s="3">
        <f t="shared" ca="1" si="7"/>
        <v>7.8898888821170994</v>
      </c>
      <c r="D100" s="3">
        <f t="shared" ca="1" si="8"/>
        <v>2.7425491578374319</v>
      </c>
      <c r="H100" s="1">
        <v>2.3409855215978497</v>
      </c>
      <c r="I100" s="1">
        <v>3.9615819095316755</v>
      </c>
      <c r="J100" s="1">
        <f t="shared" si="9"/>
        <v>169.44309273479098</v>
      </c>
    </row>
    <row r="101" spans="3:10" x14ac:dyDescent="0.25">
      <c r="C101" s="3">
        <f t="shared" ca="1" si="7"/>
        <v>0.91503558269359708</v>
      </c>
      <c r="D101" s="3">
        <f t="shared" ca="1" si="8"/>
        <v>3.9290912847312582</v>
      </c>
      <c r="H101" s="1">
        <v>0.58342013289528005</v>
      </c>
      <c r="I101" s="1">
        <v>3.5275677806516712</v>
      </c>
      <c r="J101" s="1">
        <f t="shared" si="9"/>
        <v>170.02651286768625</v>
      </c>
    </row>
    <row r="102" spans="3:10" x14ac:dyDescent="0.25">
      <c r="C102" s="3">
        <f t="shared" ca="1" si="7"/>
        <v>1.3080866387231003</v>
      </c>
      <c r="D102" s="3">
        <f t="shared" ca="1" si="8"/>
        <v>3.9635176326648409</v>
      </c>
      <c r="H102" s="1">
        <v>0.99541361975751408</v>
      </c>
      <c r="I102" s="1">
        <v>3.1017528620226171</v>
      </c>
      <c r="J102" s="1">
        <f t="shared" si="9"/>
        <v>171.02192648744378</v>
      </c>
    </row>
    <row r="103" spans="3:10" x14ac:dyDescent="0.25">
      <c r="C103" s="3">
        <f t="shared" ca="1" si="7"/>
        <v>1.4302946425504761</v>
      </c>
      <c r="D103" s="3">
        <f t="shared" ca="1" si="8"/>
        <v>4.4391904300904628</v>
      </c>
      <c r="H103" s="1">
        <v>1.1847867035312327</v>
      </c>
      <c r="I103" s="1">
        <v>2.8543275901820788</v>
      </c>
      <c r="J103" s="1">
        <f t="shared" si="9"/>
        <v>172.20671319097502</v>
      </c>
    </row>
    <row r="104" spans="3:10" x14ac:dyDescent="0.25">
      <c r="C104" s="3">
        <f t="shared" ca="1" si="7"/>
        <v>0.87684916377195388</v>
      </c>
      <c r="D104" s="3">
        <f t="shared" ca="1" si="8"/>
        <v>3.1795743700164616</v>
      </c>
      <c r="H104" s="1">
        <v>1.1448352683652183</v>
      </c>
      <c r="I104" s="1">
        <v>3.7384987650332748</v>
      </c>
      <c r="J104" s="1">
        <f t="shared" si="9"/>
        <v>173.35154845934025</v>
      </c>
    </row>
    <row r="105" spans="3:10" x14ac:dyDescent="0.25">
      <c r="C105" s="3">
        <f t="shared" ca="1" si="7"/>
        <v>14.395459789556519</v>
      </c>
      <c r="D105" s="3">
        <f t="shared" ca="1" si="8"/>
        <v>4.2949593705318012</v>
      </c>
      <c r="H105" s="1">
        <v>9.8364052146882557</v>
      </c>
      <c r="I105" s="1">
        <v>3.7057145712641373</v>
      </c>
      <c r="J105" s="1">
        <f t="shared" si="9"/>
        <v>183.18795367402851</v>
      </c>
    </row>
    <row r="106" spans="3:10" x14ac:dyDescent="0.25">
      <c r="C106" s="3">
        <f t="shared" ca="1" si="7"/>
        <v>1.8420145035822411</v>
      </c>
      <c r="D106" s="3">
        <f t="shared" ca="1" si="8"/>
        <v>2.6673172820493116</v>
      </c>
      <c r="H106" s="1">
        <v>4.0255976145659238</v>
      </c>
      <c r="I106" s="1">
        <v>3.8445293514230103</v>
      </c>
      <c r="J106" s="1">
        <f t="shared" si="9"/>
        <v>187.21355128859443</v>
      </c>
    </row>
    <row r="107" spans="3:10" x14ac:dyDescent="0.25">
      <c r="C107" s="3">
        <f t="shared" ca="1" si="7"/>
        <v>5.4510996753802212</v>
      </c>
      <c r="D107" s="3">
        <f t="shared" ca="1" si="8"/>
        <v>3.4418586813451584</v>
      </c>
      <c r="H107" s="1">
        <v>1.4007318034155003</v>
      </c>
      <c r="I107" s="1">
        <v>3.4287285914145826</v>
      </c>
      <c r="J107" s="1">
        <f t="shared" si="9"/>
        <v>188.61428309200994</v>
      </c>
    </row>
    <row r="108" spans="3:10" x14ac:dyDescent="0.25">
      <c r="C108" s="3">
        <f t="shared" ca="1" si="7"/>
        <v>1.6235565996931749</v>
      </c>
      <c r="D108" s="3">
        <f t="shared" ca="1" si="8"/>
        <v>4.357016205738816</v>
      </c>
      <c r="H108" s="1">
        <v>4.2801432209476831</v>
      </c>
      <c r="I108" s="1">
        <v>2.5457943885231487</v>
      </c>
      <c r="J108" s="1">
        <f t="shared" si="9"/>
        <v>192.89442631295762</v>
      </c>
    </row>
    <row r="109" spans="3:10" x14ac:dyDescent="0.25">
      <c r="C109" s="3">
        <f t="shared" ca="1" si="7"/>
        <v>6.5830796393992426</v>
      </c>
      <c r="D109" s="3">
        <f t="shared" ca="1" si="8"/>
        <v>3.2374502883531253</v>
      </c>
      <c r="H109" s="1">
        <v>10.681586168735942</v>
      </c>
      <c r="I109" s="1">
        <v>3.912774332597067</v>
      </c>
      <c r="J109" s="1">
        <f t="shared" si="9"/>
        <v>203.57601248169357</v>
      </c>
    </row>
    <row r="110" spans="3:10" x14ac:dyDescent="0.25">
      <c r="C110" s="3">
        <f t="shared" ca="1" si="7"/>
        <v>3.6275412565186289</v>
      </c>
      <c r="D110" s="3">
        <f t="shared" ca="1" si="8"/>
        <v>4.054148739865151</v>
      </c>
      <c r="H110" s="1">
        <v>0.40242301217303517</v>
      </c>
      <c r="I110" s="1">
        <v>2.6951182946471395</v>
      </c>
      <c r="J110" s="1">
        <f t="shared" si="9"/>
        <v>203.97843549386661</v>
      </c>
    </row>
    <row r="111" spans="3:10" x14ac:dyDescent="0.25">
      <c r="C111" s="3">
        <f t="shared" ca="1" si="7"/>
        <v>2.5221461222790191</v>
      </c>
      <c r="D111" s="3">
        <f t="shared" ca="1" si="8"/>
        <v>4.4023780959981229</v>
      </c>
      <c r="H111" s="1">
        <v>1.0951428943365811</v>
      </c>
      <c r="I111" s="1">
        <v>2.7852672381463437</v>
      </c>
      <c r="J111" s="1">
        <f t="shared" si="9"/>
        <v>205.0735783882032</v>
      </c>
    </row>
    <row r="112" spans="3:10" x14ac:dyDescent="0.25">
      <c r="C112" s="3">
        <f t="shared" ca="1" si="7"/>
        <v>10.302018533536444</v>
      </c>
      <c r="D112" s="3">
        <f t="shared" ca="1" si="8"/>
        <v>3.3492173537409995</v>
      </c>
      <c r="H112" s="1">
        <v>1.5434030307947846</v>
      </c>
      <c r="I112" s="1">
        <v>3.8921639908270729</v>
      </c>
      <c r="J112" s="1">
        <f t="shared" si="9"/>
        <v>206.61698141899799</v>
      </c>
    </row>
    <row r="113" spans="3:10" x14ac:dyDescent="0.25">
      <c r="C113" s="3">
        <f t="shared" ca="1" si="7"/>
        <v>3.3932659200486022</v>
      </c>
      <c r="D113" s="3">
        <f t="shared" ca="1" si="8"/>
        <v>4.3529267896613435</v>
      </c>
      <c r="H113" s="1">
        <v>4.1019209391600313</v>
      </c>
      <c r="I113" s="1">
        <v>4.2054077430020786</v>
      </c>
      <c r="J113" s="1">
        <f t="shared" si="9"/>
        <v>210.71890235815803</v>
      </c>
    </row>
    <row r="114" spans="3:10" x14ac:dyDescent="0.25">
      <c r="C114" s="3">
        <f t="shared" ca="1" si="7"/>
        <v>1.8606520770428812</v>
      </c>
      <c r="D114" s="3">
        <f t="shared" ca="1" si="8"/>
        <v>2.9828666951129552</v>
      </c>
      <c r="H114" s="1">
        <v>1.4951000706906088</v>
      </c>
      <c r="I114" s="1">
        <v>4.1678305379429368</v>
      </c>
      <c r="J114" s="1">
        <f t="shared" si="9"/>
        <v>212.21400242884863</v>
      </c>
    </row>
    <row r="115" spans="3:10" x14ac:dyDescent="0.25">
      <c r="C115" s="3">
        <f t="shared" ca="1" si="7"/>
        <v>1.1817124318790178</v>
      </c>
      <c r="D115" s="3">
        <f t="shared" ca="1" si="8"/>
        <v>2.993801598934672</v>
      </c>
      <c r="H115" s="1">
        <v>1.4423934184500071</v>
      </c>
      <c r="I115" s="1">
        <v>3.4336747893095843</v>
      </c>
      <c r="J115" s="1">
        <f t="shared" si="9"/>
        <v>213.65639584729863</v>
      </c>
    </row>
    <row r="116" spans="3:10" x14ac:dyDescent="0.25">
      <c r="C116" s="3">
        <f t="shared" ca="1" si="7"/>
        <v>1.0563494582269339</v>
      </c>
      <c r="D116" s="3">
        <f t="shared" ca="1" si="8"/>
        <v>2.7341563414387435</v>
      </c>
      <c r="H116" s="1">
        <v>0.10494848897150735</v>
      </c>
      <c r="I116" s="1">
        <v>2.6017949936739457</v>
      </c>
      <c r="J116" s="1">
        <f t="shared" si="9"/>
        <v>213.76134433627013</v>
      </c>
    </row>
    <row r="117" spans="3:10" x14ac:dyDescent="0.25">
      <c r="C117" s="3">
        <f t="shared" ref="C117:C180" ca="1" si="10">-LN(1-RAND())*(1/0.3)</f>
        <v>5.6103088681390165</v>
      </c>
      <c r="D117" s="3">
        <f t="shared" ref="D117:D180" ca="1" si="11">2*RAND()+2.5</f>
        <v>2.5501047776278813</v>
      </c>
      <c r="H117" s="1">
        <v>0.97758454711096898</v>
      </c>
      <c r="I117" s="1">
        <v>4.153302222540991</v>
      </c>
      <c r="J117" s="1">
        <f t="shared" si="9"/>
        <v>214.73892888338111</v>
      </c>
    </row>
    <row r="118" spans="3:10" x14ac:dyDescent="0.25">
      <c r="C118" s="3">
        <f t="shared" ca="1" si="10"/>
        <v>2.2933484242473763</v>
      </c>
      <c r="D118" s="3">
        <f t="shared" ca="1" si="11"/>
        <v>3.8296714138298116</v>
      </c>
      <c r="H118" s="1">
        <v>1.3242739478339465</v>
      </c>
      <c r="I118" s="1">
        <v>3.8912288984337788</v>
      </c>
      <c r="J118" s="1">
        <f t="shared" ref="J118:J144" si="12">J117+H118</f>
        <v>216.06320283121505</v>
      </c>
    </row>
    <row r="119" spans="3:10" x14ac:dyDescent="0.25">
      <c r="C119" s="3">
        <f t="shared" ca="1" si="10"/>
        <v>4.8973933478682641</v>
      </c>
      <c r="D119" s="3">
        <f t="shared" ca="1" si="11"/>
        <v>3.6575464839427081</v>
      </c>
      <c r="H119" s="1">
        <v>2.4309596328225687</v>
      </c>
      <c r="I119" s="1">
        <v>3.7675420729022839</v>
      </c>
      <c r="J119" s="1">
        <f t="shared" si="12"/>
        <v>218.49416246403763</v>
      </c>
    </row>
    <row r="120" spans="3:10" x14ac:dyDescent="0.25">
      <c r="C120" s="3">
        <f t="shared" ca="1" si="10"/>
        <v>5.5810604536724107</v>
      </c>
      <c r="D120" s="3">
        <f t="shared" ca="1" si="11"/>
        <v>3.7861019957556943</v>
      </c>
      <c r="H120" s="1">
        <v>0.66893484713692775</v>
      </c>
      <c r="I120" s="1">
        <v>4.4828420776214886</v>
      </c>
      <c r="J120" s="1">
        <f t="shared" si="12"/>
        <v>219.16309731117457</v>
      </c>
    </row>
    <row r="121" spans="3:10" x14ac:dyDescent="0.25">
      <c r="C121" s="3">
        <f t="shared" ca="1" si="10"/>
        <v>5.6018771873088156</v>
      </c>
      <c r="D121" s="3">
        <f t="shared" ca="1" si="11"/>
        <v>3.7353823348974382</v>
      </c>
      <c r="H121" s="1">
        <v>0.1157229914369886</v>
      </c>
      <c r="I121" s="1">
        <v>2.7013603613483679</v>
      </c>
      <c r="J121" s="1">
        <f t="shared" si="12"/>
        <v>219.27882030261156</v>
      </c>
    </row>
    <row r="122" spans="3:10" x14ac:dyDescent="0.25">
      <c r="C122" s="3">
        <f t="shared" ca="1" si="10"/>
        <v>5.6637701963263618</v>
      </c>
      <c r="D122" s="3">
        <f t="shared" ca="1" si="11"/>
        <v>3.0959907493174059</v>
      </c>
      <c r="H122" s="1">
        <v>2.6213489367529106</v>
      </c>
      <c r="I122" s="1">
        <v>2.9282181927801623</v>
      </c>
      <c r="J122" s="1">
        <f t="shared" si="12"/>
        <v>221.90016923936449</v>
      </c>
    </row>
    <row r="123" spans="3:10" x14ac:dyDescent="0.25">
      <c r="C123" s="3">
        <f t="shared" ca="1" si="10"/>
        <v>1.4362906097087356</v>
      </c>
      <c r="D123" s="3">
        <f t="shared" ca="1" si="11"/>
        <v>2.8782904211669376</v>
      </c>
      <c r="H123" s="1">
        <v>3.787409189440226</v>
      </c>
      <c r="I123" s="1">
        <v>2.52418115607622</v>
      </c>
      <c r="J123" s="1">
        <f t="shared" si="12"/>
        <v>225.68757842880473</v>
      </c>
    </row>
    <row r="124" spans="3:10" x14ac:dyDescent="0.25">
      <c r="C124" s="3">
        <f t="shared" ca="1" si="10"/>
        <v>2.7855473770400252</v>
      </c>
      <c r="D124" s="3">
        <f t="shared" ca="1" si="11"/>
        <v>3.996268234116676</v>
      </c>
      <c r="H124" s="1">
        <v>2.3792589150183412</v>
      </c>
      <c r="I124" s="1">
        <v>2.6622889387074005</v>
      </c>
      <c r="J124" s="1">
        <f t="shared" si="12"/>
        <v>228.06683734382307</v>
      </c>
    </row>
    <row r="125" spans="3:10" x14ac:dyDescent="0.25">
      <c r="C125" s="3">
        <f t="shared" ca="1" si="10"/>
        <v>1.3611614283177285</v>
      </c>
      <c r="D125" s="3">
        <f t="shared" ca="1" si="11"/>
        <v>2.7797191355179498</v>
      </c>
      <c r="H125" s="1">
        <v>3.174749824301502</v>
      </c>
      <c r="I125" s="1">
        <v>4.3198075555318836</v>
      </c>
      <c r="J125" s="1">
        <f t="shared" si="12"/>
        <v>231.24158716812457</v>
      </c>
    </row>
    <row r="126" spans="3:10" x14ac:dyDescent="0.25">
      <c r="C126" s="3">
        <f t="shared" ca="1" si="10"/>
        <v>1.7765290514278587</v>
      </c>
      <c r="D126" s="3">
        <f t="shared" ca="1" si="11"/>
        <v>2.7937929039472449</v>
      </c>
      <c r="H126" s="1">
        <v>1.5157948395037486</v>
      </c>
      <c r="I126" s="1">
        <v>2.7690514042543932</v>
      </c>
      <c r="J126" s="1">
        <f t="shared" si="12"/>
        <v>232.75738200762831</v>
      </c>
    </row>
    <row r="127" spans="3:10" x14ac:dyDescent="0.25">
      <c r="C127" s="3">
        <f t="shared" ca="1" si="10"/>
        <v>1.7696899227397072</v>
      </c>
      <c r="D127" s="3">
        <f t="shared" ca="1" si="11"/>
        <v>3.0549510837223233</v>
      </c>
      <c r="H127" s="1">
        <v>7.9191363687496237</v>
      </c>
      <c r="I127" s="1">
        <v>3.9576015698247122</v>
      </c>
      <c r="J127" s="1">
        <f t="shared" si="12"/>
        <v>240.67651837637794</v>
      </c>
    </row>
    <row r="128" spans="3:10" x14ac:dyDescent="0.25">
      <c r="C128" s="3">
        <f t="shared" ca="1" si="10"/>
        <v>1.6921830546130154</v>
      </c>
      <c r="D128" s="3">
        <f t="shared" ca="1" si="11"/>
        <v>4.0837868057602478</v>
      </c>
      <c r="H128" s="1">
        <v>10.029596083313292</v>
      </c>
      <c r="I128" s="1">
        <v>2.8453521998340943</v>
      </c>
      <c r="J128" s="1">
        <f t="shared" si="12"/>
        <v>250.70611445969124</v>
      </c>
    </row>
    <row r="129" spans="3:10" x14ac:dyDescent="0.25">
      <c r="C129" s="3">
        <f t="shared" ca="1" si="10"/>
        <v>1.9092446221469332</v>
      </c>
      <c r="D129" s="3">
        <f t="shared" ca="1" si="11"/>
        <v>3.0459449513398527</v>
      </c>
      <c r="H129" s="1">
        <v>3.333373187715627</v>
      </c>
      <c r="I129" s="1">
        <v>3.3939951269501085</v>
      </c>
      <c r="J129" s="1">
        <f t="shared" si="12"/>
        <v>254.03948764740687</v>
      </c>
    </row>
    <row r="130" spans="3:10" x14ac:dyDescent="0.25">
      <c r="C130" s="3">
        <f t="shared" ca="1" si="10"/>
        <v>6.1875079562404256</v>
      </c>
      <c r="D130" s="3">
        <f t="shared" ca="1" si="11"/>
        <v>4.0379081843723661</v>
      </c>
      <c r="H130" s="1">
        <v>3.56158245746105</v>
      </c>
      <c r="I130" s="1">
        <v>3.8213393222504504</v>
      </c>
      <c r="J130" s="1">
        <f t="shared" si="12"/>
        <v>257.60107010486792</v>
      </c>
    </row>
    <row r="131" spans="3:10" x14ac:dyDescent="0.25">
      <c r="C131" s="3">
        <f t="shared" ca="1" si="10"/>
        <v>2.8295436318944032</v>
      </c>
      <c r="D131" s="3">
        <f t="shared" ca="1" si="11"/>
        <v>3.5669257743816987</v>
      </c>
      <c r="H131" s="1">
        <v>2.8195812767344373E-2</v>
      </c>
      <c r="I131" s="1">
        <v>3.3907147852605175</v>
      </c>
      <c r="J131" s="1">
        <f t="shared" si="12"/>
        <v>257.62926591763528</v>
      </c>
    </row>
    <row r="132" spans="3:10" x14ac:dyDescent="0.25">
      <c r="C132" s="3">
        <f t="shared" ca="1" si="10"/>
        <v>0.53280974551986326</v>
      </c>
      <c r="D132" s="3">
        <f t="shared" ca="1" si="11"/>
        <v>2.5250212756970174</v>
      </c>
      <c r="H132" s="1">
        <v>6.2030241498720287</v>
      </c>
      <c r="I132" s="1">
        <v>3.2147091438281201</v>
      </c>
      <c r="J132" s="1">
        <f t="shared" si="12"/>
        <v>263.8322900675073</v>
      </c>
    </row>
    <row r="133" spans="3:10" x14ac:dyDescent="0.25">
      <c r="C133" s="3">
        <f t="shared" ca="1" si="10"/>
        <v>0.94404285314881875</v>
      </c>
      <c r="D133" s="3">
        <f t="shared" ca="1" si="11"/>
        <v>3.3852531130229337</v>
      </c>
      <c r="H133" s="1">
        <v>6.0275664240302786</v>
      </c>
      <c r="I133" s="1">
        <v>2.9320613643618803</v>
      </c>
      <c r="J133" s="1">
        <f t="shared" si="12"/>
        <v>269.85985649153758</v>
      </c>
    </row>
    <row r="134" spans="3:10" x14ac:dyDescent="0.25">
      <c r="C134" s="3">
        <f t="shared" ca="1" si="10"/>
        <v>2.0794317329856886</v>
      </c>
      <c r="D134" s="3">
        <f t="shared" ca="1" si="11"/>
        <v>2.6112941658353783</v>
      </c>
      <c r="H134" s="1">
        <v>1.9160207007166294</v>
      </c>
      <c r="I134" s="1">
        <v>2.9119773486878868</v>
      </c>
      <c r="J134" s="1">
        <f t="shared" si="12"/>
        <v>271.7758771922542</v>
      </c>
    </row>
    <row r="135" spans="3:10" x14ac:dyDescent="0.25">
      <c r="C135" s="3">
        <f t="shared" ca="1" si="10"/>
        <v>7.2291648254322345</v>
      </c>
      <c r="D135" s="3">
        <f t="shared" ca="1" si="11"/>
        <v>4.3339507117618599</v>
      </c>
      <c r="H135" s="1">
        <v>0.10635654578797542</v>
      </c>
      <c r="I135" s="1">
        <v>4.4493745223792462</v>
      </c>
      <c r="J135" s="1">
        <f t="shared" si="12"/>
        <v>271.8822337380422</v>
      </c>
    </row>
    <row r="136" spans="3:10" x14ac:dyDescent="0.25">
      <c r="C136" s="3">
        <f t="shared" ca="1" si="10"/>
        <v>1.971174646777498</v>
      </c>
      <c r="D136" s="3">
        <f t="shared" ca="1" si="11"/>
        <v>2.8397327570634188</v>
      </c>
      <c r="H136" s="1">
        <v>0.37774451087052019</v>
      </c>
      <c r="I136" s="1">
        <v>2.5148842199634025</v>
      </c>
      <c r="J136" s="1">
        <f t="shared" si="12"/>
        <v>272.25997824891272</v>
      </c>
    </row>
    <row r="137" spans="3:10" x14ac:dyDescent="0.25">
      <c r="C137" s="3">
        <f t="shared" ca="1" si="10"/>
        <v>1.4059994598770795</v>
      </c>
      <c r="D137" s="3">
        <f t="shared" ca="1" si="11"/>
        <v>4.3259460873063045</v>
      </c>
      <c r="H137" s="1">
        <v>15.402433965981611</v>
      </c>
      <c r="I137" s="1">
        <v>4.0181600985600756</v>
      </c>
      <c r="J137" s="1">
        <f t="shared" si="12"/>
        <v>287.66241221489435</v>
      </c>
    </row>
    <row r="138" spans="3:10" x14ac:dyDescent="0.25">
      <c r="C138" s="3">
        <f t="shared" ca="1" si="10"/>
        <v>1.3562780627820206</v>
      </c>
      <c r="D138" s="3">
        <f t="shared" ca="1" si="11"/>
        <v>3.6515175828497366</v>
      </c>
      <c r="H138" s="1">
        <v>0.67940039330551782</v>
      </c>
      <c r="I138" s="1">
        <v>2.8750184347624304</v>
      </c>
      <c r="J138" s="1">
        <f t="shared" si="12"/>
        <v>288.34181260819986</v>
      </c>
    </row>
    <row r="139" spans="3:10" x14ac:dyDescent="0.25">
      <c r="C139" s="3">
        <f t="shared" ca="1" si="10"/>
        <v>0.49228692384853356</v>
      </c>
      <c r="D139" s="3">
        <f t="shared" ca="1" si="11"/>
        <v>3.9055532840810434</v>
      </c>
      <c r="H139" s="1">
        <v>1.1163229790220448</v>
      </c>
      <c r="I139" s="1">
        <v>2.5105844302102871</v>
      </c>
      <c r="J139" s="1">
        <f t="shared" si="12"/>
        <v>289.45813558722193</v>
      </c>
    </row>
    <row r="140" spans="3:10" x14ac:dyDescent="0.25">
      <c r="C140" s="3">
        <f t="shared" ca="1" si="10"/>
        <v>9.7315135946637703</v>
      </c>
      <c r="D140" s="3">
        <f t="shared" ca="1" si="11"/>
        <v>2.9223209476602268</v>
      </c>
      <c r="H140" s="1">
        <v>1.612297636523534</v>
      </c>
      <c r="I140" s="1">
        <v>2.778420233316286</v>
      </c>
      <c r="J140" s="1">
        <f t="shared" si="12"/>
        <v>291.07043322374545</v>
      </c>
    </row>
    <row r="141" spans="3:10" x14ac:dyDescent="0.25">
      <c r="C141" s="3">
        <f t="shared" ca="1" si="10"/>
        <v>9.0430177357125601</v>
      </c>
      <c r="D141" s="3">
        <f t="shared" ca="1" si="11"/>
        <v>4.1525268804160049</v>
      </c>
      <c r="H141" s="1">
        <v>0.4616719301080901</v>
      </c>
      <c r="I141" s="1">
        <v>2.8040117108850593</v>
      </c>
      <c r="J141" s="1">
        <f t="shared" si="12"/>
        <v>291.53210515385354</v>
      </c>
    </row>
    <row r="142" spans="3:10" x14ac:dyDescent="0.25">
      <c r="C142" s="3">
        <f t="shared" ca="1" si="10"/>
        <v>1.4893560802850643</v>
      </c>
      <c r="D142" s="3">
        <f t="shared" ca="1" si="11"/>
        <v>3.5284568393363336</v>
      </c>
      <c r="H142" s="1">
        <v>6.0223884475100435</v>
      </c>
      <c r="I142" s="1">
        <v>2.8591307328609812</v>
      </c>
      <c r="J142" s="1">
        <f t="shared" si="12"/>
        <v>297.55449360136356</v>
      </c>
    </row>
    <row r="143" spans="3:10" x14ac:dyDescent="0.25">
      <c r="C143" s="3">
        <f t="shared" ca="1" si="10"/>
        <v>6.7097017530204983</v>
      </c>
      <c r="D143" s="3">
        <f t="shared" ca="1" si="11"/>
        <v>3.2152978126768108</v>
      </c>
      <c r="H143" s="1">
        <v>1.7206343323134896</v>
      </c>
      <c r="I143" s="1">
        <v>2.754403463151343</v>
      </c>
      <c r="J143" s="1">
        <f t="shared" si="12"/>
        <v>299.27512793367703</v>
      </c>
    </row>
    <row r="144" spans="3:10" x14ac:dyDescent="0.25">
      <c r="C144" s="3">
        <f t="shared" ca="1" si="10"/>
        <v>6.6452615150868191</v>
      </c>
      <c r="D144" s="3">
        <f t="shared" ca="1" si="11"/>
        <v>4.1414570969208064</v>
      </c>
      <c r="H144" s="1">
        <v>2.0791799416882912</v>
      </c>
      <c r="I144" s="1">
        <v>2.74801547920387</v>
      </c>
      <c r="J144" s="1">
        <f t="shared" si="12"/>
        <v>301.35430787536529</v>
      </c>
    </row>
    <row r="145" spans="3:4" x14ac:dyDescent="0.25">
      <c r="C145" s="3">
        <f t="shared" ca="1" si="10"/>
        <v>0.25564609149358358</v>
      </c>
      <c r="D145" s="3">
        <f t="shared" ca="1" si="11"/>
        <v>3.3524893808242133</v>
      </c>
    </row>
    <row r="146" spans="3:4" x14ac:dyDescent="0.25">
      <c r="C146" s="3">
        <f t="shared" ca="1" si="10"/>
        <v>1.3609635602599328</v>
      </c>
      <c r="D146" s="3">
        <f t="shared" ca="1" si="11"/>
        <v>2.8330375566419668</v>
      </c>
    </row>
    <row r="147" spans="3:4" x14ac:dyDescent="0.25">
      <c r="C147" s="3">
        <f t="shared" ca="1" si="10"/>
        <v>6.5009456756812005</v>
      </c>
      <c r="D147" s="3">
        <f t="shared" ca="1" si="11"/>
        <v>4.1198844643942705</v>
      </c>
    </row>
    <row r="148" spans="3:4" x14ac:dyDescent="0.25">
      <c r="C148" s="3">
        <f t="shared" ca="1" si="10"/>
        <v>5.5891399598588629</v>
      </c>
      <c r="D148" s="3">
        <f t="shared" ca="1" si="11"/>
        <v>2.5407677154885757</v>
      </c>
    </row>
    <row r="149" spans="3:4" x14ac:dyDescent="0.25">
      <c r="C149" s="3">
        <f t="shared" ca="1" si="10"/>
        <v>5.3236072425377765</v>
      </c>
      <c r="D149" s="3">
        <f t="shared" ca="1" si="11"/>
        <v>2.7426063160076763</v>
      </c>
    </row>
    <row r="150" spans="3:4" x14ac:dyDescent="0.25">
      <c r="C150" s="3">
        <f t="shared" ca="1" si="10"/>
        <v>3.8011795911756949</v>
      </c>
      <c r="D150" s="3">
        <f t="shared" ca="1" si="11"/>
        <v>4.3008438913650995</v>
      </c>
    </row>
    <row r="151" spans="3:4" x14ac:dyDescent="0.25">
      <c r="C151" s="3">
        <f t="shared" ca="1" si="10"/>
        <v>10.159582552082146</v>
      </c>
      <c r="D151" s="3">
        <f t="shared" ca="1" si="11"/>
        <v>4.4423485832271847</v>
      </c>
    </row>
    <row r="152" spans="3:4" x14ac:dyDescent="0.25">
      <c r="C152" s="3">
        <f t="shared" ca="1" si="10"/>
        <v>16.081762009056398</v>
      </c>
      <c r="D152" s="3">
        <f t="shared" ca="1" si="11"/>
        <v>2.5323539561861912</v>
      </c>
    </row>
    <row r="153" spans="3:4" x14ac:dyDescent="0.25">
      <c r="C153" s="3">
        <f t="shared" ca="1" si="10"/>
        <v>1.0850951758530536</v>
      </c>
      <c r="D153" s="3">
        <f t="shared" ca="1" si="11"/>
        <v>3.5047464716103276</v>
      </c>
    </row>
    <row r="154" spans="3:4" x14ac:dyDescent="0.25">
      <c r="C154" s="3">
        <f t="shared" ca="1" si="10"/>
        <v>5.2797693520718614</v>
      </c>
      <c r="D154" s="3">
        <f t="shared" ca="1" si="11"/>
        <v>3.4026206215683605</v>
      </c>
    </row>
    <row r="155" spans="3:4" x14ac:dyDescent="0.25">
      <c r="C155" s="3">
        <f t="shared" ca="1" si="10"/>
        <v>0.61834353647543405</v>
      </c>
      <c r="D155" s="3">
        <f t="shared" ca="1" si="11"/>
        <v>2.9925075422334264</v>
      </c>
    </row>
    <row r="156" spans="3:4" x14ac:dyDescent="0.25">
      <c r="C156" s="3">
        <f t="shared" ca="1" si="10"/>
        <v>4.2889142750173006</v>
      </c>
      <c r="D156" s="3">
        <f t="shared" ca="1" si="11"/>
        <v>3.5781029465333898</v>
      </c>
    </row>
    <row r="157" spans="3:4" x14ac:dyDescent="0.25">
      <c r="C157" s="3">
        <f t="shared" ca="1" si="10"/>
        <v>6.7017720589955188</v>
      </c>
      <c r="D157" s="3">
        <f t="shared" ca="1" si="11"/>
        <v>4.0289263656803662</v>
      </c>
    </row>
    <row r="158" spans="3:4" x14ac:dyDescent="0.25">
      <c r="C158" s="3">
        <f t="shared" ca="1" si="10"/>
        <v>1.7712125020533342</v>
      </c>
      <c r="D158" s="3">
        <f t="shared" ca="1" si="11"/>
        <v>2.9499834004945118</v>
      </c>
    </row>
    <row r="159" spans="3:4" x14ac:dyDescent="0.25">
      <c r="C159" s="3">
        <f t="shared" ca="1" si="10"/>
        <v>6.6298759095956541</v>
      </c>
      <c r="D159" s="3">
        <f t="shared" ca="1" si="11"/>
        <v>3.0312443321378382</v>
      </c>
    </row>
    <row r="160" spans="3:4" x14ac:dyDescent="0.25">
      <c r="C160" s="3">
        <f t="shared" ca="1" si="10"/>
        <v>4.0864450260550731</v>
      </c>
      <c r="D160" s="3">
        <f t="shared" ca="1" si="11"/>
        <v>4.1265769688705713</v>
      </c>
    </row>
    <row r="161" spans="3:4" x14ac:dyDescent="0.25">
      <c r="C161" s="3">
        <f t="shared" ca="1" si="10"/>
        <v>3.2797475422808815</v>
      </c>
      <c r="D161" s="3">
        <f t="shared" ca="1" si="11"/>
        <v>3.9888022731499957</v>
      </c>
    </row>
    <row r="162" spans="3:4" x14ac:dyDescent="0.25">
      <c r="C162" s="3">
        <f t="shared" ca="1" si="10"/>
        <v>0.38122842852368033</v>
      </c>
      <c r="D162" s="3">
        <f t="shared" ca="1" si="11"/>
        <v>2.6571949932001169</v>
      </c>
    </row>
    <row r="163" spans="3:4" x14ac:dyDescent="0.25">
      <c r="C163" s="3">
        <f t="shared" ca="1" si="10"/>
        <v>3.149323720929365</v>
      </c>
      <c r="D163" s="3">
        <f t="shared" ca="1" si="11"/>
        <v>3.4193042472097286</v>
      </c>
    </row>
    <row r="164" spans="3:4" x14ac:dyDescent="0.25">
      <c r="C164" s="3">
        <f t="shared" ca="1" si="10"/>
        <v>1.0176207160363602</v>
      </c>
      <c r="D164" s="3">
        <f t="shared" ca="1" si="11"/>
        <v>4.095585683733507</v>
      </c>
    </row>
    <row r="165" spans="3:4" x14ac:dyDescent="0.25">
      <c r="C165" s="3">
        <f t="shared" ca="1" si="10"/>
        <v>4.6843119295680387</v>
      </c>
      <c r="D165" s="3">
        <f t="shared" ca="1" si="11"/>
        <v>3.345481252429332</v>
      </c>
    </row>
    <row r="166" spans="3:4" x14ac:dyDescent="0.25">
      <c r="C166" s="3">
        <f t="shared" ca="1" si="10"/>
        <v>4.3954714818576868</v>
      </c>
      <c r="D166" s="3">
        <f t="shared" ca="1" si="11"/>
        <v>2.5740448228039123</v>
      </c>
    </row>
    <row r="167" spans="3:4" x14ac:dyDescent="0.25">
      <c r="C167" s="3">
        <f t="shared" ca="1" si="10"/>
        <v>3.8300430247540596</v>
      </c>
      <c r="D167" s="3">
        <f t="shared" ca="1" si="11"/>
        <v>4.4499152322190296</v>
      </c>
    </row>
    <row r="168" spans="3:4" x14ac:dyDescent="0.25">
      <c r="C168" s="3">
        <f t="shared" ca="1" si="10"/>
        <v>4.1286476600029127</v>
      </c>
      <c r="D168" s="3">
        <f t="shared" ca="1" si="11"/>
        <v>2.5882667011262948</v>
      </c>
    </row>
    <row r="169" spans="3:4" x14ac:dyDescent="0.25">
      <c r="C169" s="3">
        <f t="shared" ca="1" si="10"/>
        <v>2.2608988792301119</v>
      </c>
      <c r="D169" s="3">
        <f t="shared" ca="1" si="11"/>
        <v>3.3282528860146803</v>
      </c>
    </row>
    <row r="170" spans="3:4" x14ac:dyDescent="0.25">
      <c r="C170" s="3">
        <f t="shared" ca="1" si="10"/>
        <v>0.56519461285982309</v>
      </c>
      <c r="D170" s="3">
        <f t="shared" ca="1" si="11"/>
        <v>4.0639273053593286</v>
      </c>
    </row>
    <row r="171" spans="3:4" x14ac:dyDescent="0.25">
      <c r="C171" s="3">
        <f t="shared" ca="1" si="10"/>
        <v>1.5929147936733432</v>
      </c>
      <c r="D171" s="3">
        <f t="shared" ca="1" si="11"/>
        <v>4.2106778327269918</v>
      </c>
    </row>
    <row r="172" spans="3:4" x14ac:dyDescent="0.25">
      <c r="C172" s="3">
        <f t="shared" ca="1" si="10"/>
        <v>0.48650098129265706</v>
      </c>
      <c r="D172" s="3">
        <f t="shared" ca="1" si="11"/>
        <v>3.3897030906907277</v>
      </c>
    </row>
    <row r="173" spans="3:4" x14ac:dyDescent="0.25">
      <c r="C173" s="3">
        <f t="shared" ca="1" si="10"/>
        <v>6.8579047504819082</v>
      </c>
      <c r="D173" s="3">
        <f t="shared" ca="1" si="11"/>
        <v>2.8313923723635748</v>
      </c>
    </row>
    <row r="174" spans="3:4" x14ac:dyDescent="0.25">
      <c r="C174" s="3">
        <f t="shared" ca="1" si="10"/>
        <v>6.9834302209691046</v>
      </c>
      <c r="D174" s="3">
        <f t="shared" ca="1" si="11"/>
        <v>3.3405335716062661</v>
      </c>
    </row>
    <row r="175" spans="3:4" x14ac:dyDescent="0.25">
      <c r="C175" s="3">
        <f t="shared" ca="1" si="10"/>
        <v>0.38548777512798821</v>
      </c>
      <c r="D175" s="3">
        <f t="shared" ca="1" si="11"/>
        <v>3.8375392830204564</v>
      </c>
    </row>
    <row r="176" spans="3:4" x14ac:dyDescent="0.25">
      <c r="C176" s="3">
        <f t="shared" ca="1" si="10"/>
        <v>7.6044221213330845</v>
      </c>
      <c r="D176" s="3">
        <f t="shared" ca="1" si="11"/>
        <v>4.2627313604230332</v>
      </c>
    </row>
    <row r="177" spans="3:4" x14ac:dyDescent="0.25">
      <c r="C177" s="3">
        <f t="shared" ca="1" si="10"/>
        <v>4.1068041331765039</v>
      </c>
      <c r="D177" s="3">
        <f t="shared" ca="1" si="11"/>
        <v>2.6619181909260314</v>
      </c>
    </row>
    <row r="178" spans="3:4" x14ac:dyDescent="0.25">
      <c r="C178" s="3">
        <f t="shared" ca="1" si="10"/>
        <v>2.7986886238253961</v>
      </c>
      <c r="D178" s="3">
        <f t="shared" ca="1" si="11"/>
        <v>4.0844822542259847</v>
      </c>
    </row>
    <row r="179" spans="3:4" x14ac:dyDescent="0.25">
      <c r="C179" s="3">
        <f t="shared" ca="1" si="10"/>
        <v>7.3871344998773383</v>
      </c>
      <c r="D179" s="3">
        <f t="shared" ca="1" si="11"/>
        <v>3.4847016185152793</v>
      </c>
    </row>
    <row r="180" spans="3:4" x14ac:dyDescent="0.25">
      <c r="C180" s="3">
        <f t="shared" ca="1" si="10"/>
        <v>6.5010533149101937</v>
      </c>
      <c r="D180" s="3">
        <f t="shared" ca="1" si="11"/>
        <v>3.0314682655712684</v>
      </c>
    </row>
    <row r="181" spans="3:4" x14ac:dyDescent="0.25">
      <c r="C181" s="3">
        <f t="shared" ref="C181:C209" ca="1" si="13">-LN(1-RAND())*(1/0.3)</f>
        <v>0.46347925820093644</v>
      </c>
      <c r="D181" s="3">
        <f t="shared" ref="D181:D209" ca="1" si="14">2*RAND()+2.5</f>
        <v>4.3406048375277111</v>
      </c>
    </row>
    <row r="182" spans="3:4" x14ac:dyDescent="0.25">
      <c r="C182" s="3">
        <f t="shared" ca="1" si="13"/>
        <v>0.28119426322475088</v>
      </c>
      <c r="D182" s="3">
        <f t="shared" ca="1" si="14"/>
        <v>2.8193856736495766</v>
      </c>
    </row>
    <row r="183" spans="3:4" x14ac:dyDescent="0.25">
      <c r="C183" s="3">
        <f t="shared" ca="1" si="13"/>
        <v>5.3589697335421258</v>
      </c>
      <c r="D183" s="3">
        <f t="shared" ca="1" si="14"/>
        <v>3.1624171094040592</v>
      </c>
    </row>
    <row r="184" spans="3:4" x14ac:dyDescent="0.25">
      <c r="C184" s="3">
        <f t="shared" ca="1" si="13"/>
        <v>5.7762180471012732</v>
      </c>
      <c r="D184" s="3">
        <f t="shared" ca="1" si="14"/>
        <v>2.5809052065433056</v>
      </c>
    </row>
    <row r="185" spans="3:4" x14ac:dyDescent="0.25">
      <c r="C185" s="3">
        <f t="shared" ca="1" si="13"/>
        <v>5.9746055937617895</v>
      </c>
      <c r="D185" s="3">
        <f t="shared" ca="1" si="14"/>
        <v>2.9594722820329027</v>
      </c>
    </row>
    <row r="186" spans="3:4" x14ac:dyDescent="0.25">
      <c r="C186" s="3">
        <f t="shared" ca="1" si="13"/>
        <v>0.17496271866877733</v>
      </c>
      <c r="D186" s="3">
        <f t="shared" ca="1" si="14"/>
        <v>4.2727735439946315</v>
      </c>
    </row>
    <row r="187" spans="3:4" x14ac:dyDescent="0.25">
      <c r="C187" s="3">
        <f t="shared" ca="1" si="13"/>
        <v>0.93097891402653721</v>
      </c>
      <c r="D187" s="3">
        <f t="shared" ca="1" si="14"/>
        <v>3.6588849746483527</v>
      </c>
    </row>
    <row r="188" spans="3:4" x14ac:dyDescent="0.25">
      <c r="C188" s="3">
        <f t="shared" ca="1" si="13"/>
        <v>5.1154076923350864</v>
      </c>
      <c r="D188" s="3">
        <f t="shared" ca="1" si="14"/>
        <v>3.68330523215133</v>
      </c>
    </row>
    <row r="189" spans="3:4" x14ac:dyDescent="0.25">
      <c r="C189" s="3">
        <f t="shared" ca="1" si="13"/>
        <v>1.5864548778547447</v>
      </c>
      <c r="D189" s="3">
        <f t="shared" ca="1" si="14"/>
        <v>4.4920055850935521</v>
      </c>
    </row>
    <row r="190" spans="3:4" x14ac:dyDescent="0.25">
      <c r="C190" s="3">
        <f t="shared" ca="1" si="13"/>
        <v>4.1492880779571149</v>
      </c>
      <c r="D190" s="3">
        <f t="shared" ca="1" si="14"/>
        <v>3.229057544850173</v>
      </c>
    </row>
    <row r="191" spans="3:4" x14ac:dyDescent="0.25">
      <c r="C191" s="3">
        <f t="shared" ca="1" si="13"/>
        <v>6.8776297817467942</v>
      </c>
      <c r="D191" s="3">
        <f t="shared" ca="1" si="14"/>
        <v>3.4809303876548019</v>
      </c>
    </row>
    <row r="192" spans="3:4" x14ac:dyDescent="0.25">
      <c r="C192" s="3">
        <f t="shared" ca="1" si="13"/>
        <v>1.2115525873518889</v>
      </c>
      <c r="D192" s="3">
        <f t="shared" ca="1" si="14"/>
        <v>3.3744733556147413</v>
      </c>
    </row>
    <row r="193" spans="3:4" x14ac:dyDescent="0.25">
      <c r="C193" s="3">
        <f t="shared" ca="1" si="13"/>
        <v>4.7043790236675749</v>
      </c>
      <c r="D193" s="3">
        <f t="shared" ca="1" si="14"/>
        <v>2.6138937071796984</v>
      </c>
    </row>
    <row r="194" spans="3:4" x14ac:dyDescent="0.25">
      <c r="C194" s="3">
        <f t="shared" ca="1" si="13"/>
        <v>2.4501811376725575</v>
      </c>
      <c r="D194" s="3">
        <f t="shared" ca="1" si="14"/>
        <v>4.1240811047455042</v>
      </c>
    </row>
    <row r="195" spans="3:4" x14ac:dyDescent="0.25">
      <c r="C195" s="3">
        <f t="shared" ca="1" si="13"/>
        <v>2.6678544333220717</v>
      </c>
      <c r="D195" s="3">
        <f t="shared" ca="1" si="14"/>
        <v>4.3180391800582356</v>
      </c>
    </row>
    <row r="196" spans="3:4" x14ac:dyDescent="0.25">
      <c r="C196" s="3">
        <f t="shared" ca="1" si="13"/>
        <v>0.88852334109859321</v>
      </c>
      <c r="D196" s="3">
        <f t="shared" ca="1" si="14"/>
        <v>3.6910491200349189</v>
      </c>
    </row>
    <row r="197" spans="3:4" x14ac:dyDescent="0.25">
      <c r="C197" s="3">
        <f t="shared" ca="1" si="13"/>
        <v>2.0341564462150314</v>
      </c>
      <c r="D197" s="3">
        <f t="shared" ca="1" si="14"/>
        <v>4.4438355954708149</v>
      </c>
    </row>
    <row r="198" spans="3:4" x14ac:dyDescent="0.25">
      <c r="C198" s="3">
        <f t="shared" ca="1" si="13"/>
        <v>3.7691060705097135</v>
      </c>
      <c r="D198" s="3">
        <f t="shared" ca="1" si="14"/>
        <v>2.9439592695591976</v>
      </c>
    </row>
    <row r="199" spans="3:4" x14ac:dyDescent="0.25">
      <c r="C199" s="3">
        <f t="shared" ca="1" si="13"/>
        <v>0.15010889534611427</v>
      </c>
      <c r="D199" s="3">
        <f t="shared" ca="1" si="14"/>
        <v>4.0526049853849431</v>
      </c>
    </row>
    <row r="200" spans="3:4" x14ac:dyDescent="0.25">
      <c r="C200" s="3">
        <f t="shared" ca="1" si="13"/>
        <v>3.4094002795283074</v>
      </c>
      <c r="D200" s="3">
        <f t="shared" ca="1" si="14"/>
        <v>3.0443313144782551</v>
      </c>
    </row>
    <row r="201" spans="3:4" x14ac:dyDescent="0.25">
      <c r="C201" s="3">
        <f t="shared" ca="1" si="13"/>
        <v>1.517226963130732</v>
      </c>
      <c r="D201" s="3">
        <f t="shared" ca="1" si="14"/>
        <v>3.6876362805198681</v>
      </c>
    </row>
    <row r="202" spans="3:4" x14ac:dyDescent="0.25">
      <c r="C202" s="3">
        <f t="shared" ca="1" si="13"/>
        <v>0.49381699540010393</v>
      </c>
      <c r="D202" s="3">
        <f t="shared" ca="1" si="14"/>
        <v>2.9530406393685396</v>
      </c>
    </row>
    <row r="203" spans="3:4" x14ac:dyDescent="0.25">
      <c r="C203" s="3">
        <f t="shared" ca="1" si="13"/>
        <v>3.7177474688308982</v>
      </c>
      <c r="D203" s="3">
        <f t="shared" ca="1" si="14"/>
        <v>3.7795506804893897</v>
      </c>
    </row>
    <row r="204" spans="3:4" x14ac:dyDescent="0.25">
      <c r="C204" s="3">
        <f t="shared" ca="1" si="13"/>
        <v>5.9250995430502886</v>
      </c>
      <c r="D204" s="3">
        <f t="shared" ca="1" si="14"/>
        <v>3.72519204817667</v>
      </c>
    </row>
    <row r="205" spans="3:4" x14ac:dyDescent="0.25">
      <c r="C205" s="3">
        <f t="shared" ca="1" si="13"/>
        <v>10.163043525057159</v>
      </c>
      <c r="D205" s="3">
        <f t="shared" ca="1" si="14"/>
        <v>2.7130762418169647</v>
      </c>
    </row>
    <row r="206" spans="3:4" x14ac:dyDescent="0.25">
      <c r="C206" s="3">
        <f t="shared" ca="1" si="13"/>
        <v>2.0849427263524536</v>
      </c>
      <c r="D206" s="3">
        <f t="shared" ca="1" si="14"/>
        <v>3.2633252972445694</v>
      </c>
    </row>
    <row r="207" spans="3:4" x14ac:dyDescent="0.25">
      <c r="C207" s="3">
        <f t="shared" ca="1" si="13"/>
        <v>1.2656743256003284</v>
      </c>
      <c r="D207" s="3">
        <f t="shared" ca="1" si="14"/>
        <v>3.8986140982673909</v>
      </c>
    </row>
    <row r="208" spans="3:4" x14ac:dyDescent="0.25">
      <c r="C208" s="3">
        <f t="shared" ca="1" si="13"/>
        <v>2.4447883693537902</v>
      </c>
      <c r="D208" s="3">
        <f t="shared" ca="1" si="14"/>
        <v>4.4485660542246031</v>
      </c>
    </row>
    <row r="209" spans="3:4" x14ac:dyDescent="0.25">
      <c r="C209" s="3">
        <f t="shared" ca="1" si="13"/>
        <v>4.1112514838593999</v>
      </c>
      <c r="D209" s="3">
        <f t="shared" ca="1" si="14"/>
        <v>3.4092697834835164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Subhankar Dey</dc:creator>
  <cp:lastModifiedBy>Subhankar Dey</cp:lastModifiedBy>
  <dcterms:created xsi:type="dcterms:W3CDTF">2018-11-03T00:10:55Z</dcterms:created>
  <dcterms:modified xsi:type="dcterms:W3CDTF">2018-11-07T17:12:07Z</dcterms:modified>
</cp:coreProperties>
</file>