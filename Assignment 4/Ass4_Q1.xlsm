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onty\OneDrive\Desktop\FALL 2018\CEE 598 Traffic Simulation Planning Modeling &amp; Application\ASSIGNMENT SUBMISSION\"/>
    </mc:Choice>
  </mc:AlternateContent>
  <xr:revisionPtr revIDLastSave="239" documentId="8_{1DD29B1F-4F91-432D-8D03-37AA4A4B8F22}" xr6:coauthVersionLast="38" xr6:coauthVersionMax="38" xr10:uidLastSave="{3326CF54-B6A8-4B32-B6E1-5D5454325E5D}"/>
  <bookViews>
    <workbookView xWindow="0" yWindow="0" windowWidth="15345" windowHeight="4410" xr2:uid="{5D96204E-5CF3-4F10-93A1-694C4F8C4F43}"/>
  </bookViews>
  <sheets>
    <sheet name="Sheet1" sheetId="2" r:id="rId1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V4" i="2" l="1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3" i="2"/>
  <c r="Q3" i="2"/>
  <c r="P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3" i="2"/>
  <c r="R3" i="2"/>
  <c r="M4" i="2"/>
  <c r="N3" i="2"/>
  <c r="M3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G37" i="2"/>
  <c r="F38" i="2"/>
  <c r="L38" i="2"/>
  <c r="G38" i="2"/>
  <c r="F39" i="2"/>
  <c r="L39" i="2"/>
  <c r="G39" i="2"/>
  <c r="F40" i="2"/>
  <c r="L40" i="2"/>
  <c r="G40" i="2"/>
  <c r="F41" i="2"/>
  <c r="L41" i="2"/>
  <c r="G41" i="2"/>
  <c r="F42" i="2"/>
  <c r="L42" i="2"/>
  <c r="G42" i="2"/>
  <c r="F43" i="2"/>
  <c r="L43" i="2"/>
  <c r="G43" i="2"/>
  <c r="F44" i="2"/>
  <c r="L44" i="2"/>
  <c r="G44" i="2"/>
  <c r="F45" i="2"/>
  <c r="L45" i="2"/>
  <c r="G45" i="2"/>
  <c r="F46" i="2"/>
  <c r="L46" i="2"/>
  <c r="G46" i="2"/>
  <c r="F47" i="2"/>
  <c r="L47" i="2"/>
  <c r="G47" i="2"/>
  <c r="F48" i="2"/>
  <c r="L48" i="2"/>
  <c r="L4" i="2"/>
  <c r="L3" i="2"/>
  <c r="H39" i="2"/>
  <c r="H40" i="2"/>
  <c r="H41" i="2"/>
  <c r="H42" i="2"/>
  <c r="H43" i="2"/>
  <c r="H44" i="2"/>
  <c r="H45" i="2"/>
  <c r="H46" i="2"/>
  <c r="H47" i="2"/>
  <c r="H48" i="2"/>
  <c r="H38" i="2"/>
  <c r="K3" i="2"/>
  <c r="J3" i="2"/>
  <c r="I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" i="2"/>
  <c r="G4" i="2"/>
  <c r="F5" i="2"/>
  <c r="G5" i="2"/>
  <c r="F6" i="2"/>
  <c r="G6" i="2"/>
  <c r="F7" i="2"/>
  <c r="G7" i="2"/>
  <c r="F8" i="2"/>
  <c r="G8" i="2"/>
  <c r="F9" i="2"/>
  <c r="G9" i="2"/>
  <c r="F10" i="2"/>
  <c r="G10" i="2"/>
  <c r="F11" i="2"/>
  <c r="G11" i="2"/>
  <c r="F12" i="2"/>
  <c r="G12" i="2"/>
  <c r="F13" i="2"/>
  <c r="G13" i="2"/>
  <c r="F14" i="2"/>
  <c r="G14" i="2"/>
  <c r="F15" i="2"/>
  <c r="G15" i="2"/>
  <c r="F16" i="2"/>
  <c r="G16" i="2"/>
  <c r="F17" i="2"/>
  <c r="G17" i="2"/>
  <c r="F18" i="2"/>
  <c r="G18" i="2"/>
  <c r="F19" i="2"/>
  <c r="G19" i="2"/>
  <c r="F20" i="2"/>
  <c r="G20" i="2"/>
  <c r="F21" i="2"/>
  <c r="G21" i="2"/>
  <c r="F22" i="2"/>
  <c r="G22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F33" i="2"/>
  <c r="G33" i="2"/>
  <c r="F34" i="2"/>
  <c r="G34" i="2"/>
  <c r="F35" i="2"/>
  <c r="G35" i="2"/>
  <c r="F36" i="2"/>
  <c r="G36" i="2"/>
  <c r="F37" i="2"/>
  <c r="G48" i="2"/>
  <c r="F4" i="2"/>
  <c r="G3" i="2"/>
  <c r="F3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" i="2"/>
</calcChain>
</file>

<file path=xl/sharedStrings.xml><?xml version="1.0" encoding="utf-8"?>
<sst xmlns="http://schemas.openxmlformats.org/spreadsheetml/2006/main" count="21" uniqueCount="21">
  <si>
    <t>Agent ID</t>
  </si>
  <si>
    <t>InterArrival Time
(min)</t>
  </si>
  <si>
    <t>Service Duration time
(min)</t>
  </si>
  <si>
    <t>Arrival Time
(mins)</t>
  </si>
  <si>
    <t>Service Start time
(mins)</t>
  </si>
  <si>
    <t>Service End Time
(mins)</t>
  </si>
  <si>
    <t>Waiting Time
(mins)</t>
  </si>
  <si>
    <t>Max WT</t>
  </si>
  <si>
    <t>Total WT</t>
  </si>
  <si>
    <t>Avg WT</t>
  </si>
  <si>
    <t>No. of Agents in Queue</t>
  </si>
  <si>
    <t>Aver</t>
  </si>
  <si>
    <t>Server Utilization Rate</t>
  </si>
  <si>
    <t>Max No Of
Agents at any time</t>
  </si>
  <si>
    <t>Cycle Time
(mins)</t>
  </si>
  <si>
    <t>Average 
Cycle Time
(mins)</t>
  </si>
  <si>
    <t>Maximum
Cycle Time
(mins)</t>
  </si>
  <si>
    <t>Arrival
(mins)</t>
  </si>
  <si>
    <t>Departure
(mins)</t>
  </si>
  <si>
    <t>No. of
Arrival</t>
  </si>
  <si>
    <t>No. of
Departure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</si>
</sst>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</fills>
  <borders count="20">
    <border>
      <left/>
      <right/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double">
        <color indexed="64"/>
      </right>
      <top/>
      <bottom/>
      <diagonal/>
    </border>
    <border>
      <left style="thick">
        <color indexed="64"/>
      </left>
      <right style="double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2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2" xfId="0" applyBorder="1"/>
    <xf numFmtId="2" fontId="0" fillId="0" borderId="4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5" xfId="0" applyFont="1" applyBorder="1" applyAlignment="1">
      <alignment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8" xfId="0" applyFont="1" applyBorder="1" applyAlignment="1">
      <alignment horizontal="center" vertical="center" wrapText="1"/>
    </xf>
    <xf numFmtId="2" fontId="0" fillId="0" borderId="9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0" fontId="1" fillId="0" borderId="11" xfId="0" applyFont="1" applyBorder="1" applyAlignment="1">
      <alignment horizontal="center" vertical="center" wrapText="1"/>
    </xf>
    <xf numFmtId="2" fontId="0" fillId="0" borderId="12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12" xfId="0" applyNumberFormat="1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16" xfId="0" applyBorder="1"/>
    <xf numFmtId="0" fontId="1" fillId="0" borderId="17" xfId="0" applyFont="1" applyBorder="1" applyAlignment="1">
      <alignment horizontal="center" vertical="center" wrapText="1"/>
    </xf>
    <xf numFmtId="0" fontId="0" fillId="0" borderId="15" xfId="0" applyBorder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1" fillId="0" borderId="11" xfId="0" applyFont="1" applyBorder="1" applyAlignment="1">
      <alignment horizontal="center" wrapText="1"/>
    </xf>
    <xf numFmtId="0" fontId="1" fillId="0" borderId="17" xfId="0" applyFont="1" applyBorder="1" applyAlignment="1">
      <alignment horizontal="center" wrapText="1"/>
    </xf>
    <xf numFmtId="0" fontId="1" fillId="0" borderId="17" xfId="0" applyFont="1" applyBorder="1" applyAlignment="1">
      <alignment horizontal="center" vertical="center"/>
    </xf>
    <xf numFmtId="2" fontId="0" fillId="0" borderId="18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2" fontId="0" fillId="2" borderId="18" xfId="0" applyNumberFormat="1" applyFill="1" applyBorder="1" applyAlignment="1">
      <alignment horizontal="center"/>
    </xf>
    <xf numFmtId="2" fontId="0" fillId="3" borderId="19" xfId="0" applyNumberFormat="1" applyFill="1" applyBorder="1" applyAlignment="1">
      <alignment horizontal="center"/>
    </xf>
    <xf numFmtId="164" fontId="0" fillId="0" borderId="19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18F32-F25F-4BB7-8E28-C8E989B0CCD1}">
  <dimension ref="B1:V77"/>
  <sheetViews>
    <sheetView tabSelected="1" zoomScaleNormal="100" workbookViewId="0">
      <selection activeCell="L55" sqref="L55"/>
    </sheetView>
  </sheetViews>
  <sheetFormatPr defaultRowHeight="15" x14ac:dyDescent="0.25"/>
  <cols>
    <col min="3" max="3" width="16.7109375" customWidth="1"/>
    <col min="4" max="4" width="21.28515625" customWidth="1"/>
    <col min="5" max="5" width="12.42578125" customWidth="1"/>
    <col min="6" max="6" width="14.5703125" customWidth="1"/>
    <col min="7" max="7" width="14.7109375" customWidth="1"/>
    <col min="12" max="12" width="10.5703125" customWidth="1"/>
    <col min="14" max="14" width="10.28515625" bestFit="1" customWidth="1"/>
    <col min="15" max="15" width="11" customWidth="1"/>
    <col min="16" max="17" width="10.5703125" bestFit="1" customWidth="1"/>
    <col min="18" max="18" width="21.140625" bestFit="1" customWidth="1"/>
    <col min="19" max="19" width="7.5703125" bestFit="1" customWidth="1"/>
    <col min="21" max="21" width="10.85546875" customWidth="1"/>
    <col min="22" max="22" width="10.140625" customWidth="1"/>
  </cols>
  <sheetData>
    <row r="1" spans="2:22" ht="15.75" thickBot="1" x14ac:dyDescent="0.3">
      <c r="K1" s="24"/>
      <c r="P1" s="24"/>
    </row>
    <row r="2" spans="2:22" ht="48.75" customHeight="1" thickTop="1" thickBot="1" x14ac:dyDescent="0.3">
      <c r="B2" s="11" t="s">
        <v>0</v>
      </c>
      <c r="C2" s="14" t="s">
        <v>1</v>
      </c>
      <c r="D2" s="17" t="s">
        <v>2</v>
      </c>
      <c r="E2" s="17" t="s">
        <v>3</v>
      </c>
      <c r="F2" s="17" t="s">
        <v>4</v>
      </c>
      <c r="G2" s="17" t="s">
        <v>5</v>
      </c>
      <c r="H2" s="17" t="s">
        <v>6</v>
      </c>
      <c r="I2" s="17" t="s">
        <v>7</v>
      </c>
      <c r="J2" s="17" t="s">
        <v>8</v>
      </c>
      <c r="K2" s="25" t="s">
        <v>9</v>
      </c>
      <c r="L2" s="17" t="s">
        <v>10</v>
      </c>
      <c r="M2" s="17" t="s">
        <v>11</v>
      </c>
      <c r="N2" s="29" t="s">
        <v>13</v>
      </c>
      <c r="O2" s="17" t="s">
        <v>14</v>
      </c>
      <c r="P2" s="30" t="s">
        <v>15</v>
      </c>
      <c r="Q2" s="29" t="s">
        <v>16</v>
      </c>
      <c r="R2" s="31" t="s">
        <v>12</v>
      </c>
      <c r="S2" s="17" t="s">
        <v>17</v>
      </c>
      <c r="T2" s="17" t="s">
        <v>19</v>
      </c>
      <c r="U2" s="17" t="s">
        <v>18</v>
      </c>
      <c r="V2" s="4" t="s">
        <v>20</v>
      </c>
    </row>
    <row r="3" spans="2:22" ht="16.5" thickTop="1" thickBot="1" x14ac:dyDescent="0.3">
      <c r="B3" s="12">
        <v>1</v>
      </c>
      <c r="C3" s="15">
        <v>0.85022349023317978</v>
      </c>
      <c r="D3" s="18">
        <v>3.9416231512083781</v>
      </c>
      <c r="E3" s="20">
        <f>C3</f>
        <v>0.85022349023317978</v>
      </c>
      <c r="F3" s="20">
        <f>C3</f>
        <v>0.85022349023317978</v>
      </c>
      <c r="G3" s="20">
        <f>F3+D3</f>
        <v>4.7918466414415581</v>
      </c>
      <c r="H3" s="18">
        <f>F3-E3</f>
        <v>0</v>
      </c>
      <c r="I3" s="32">
        <f>MAX(H3:H48)</f>
        <v>49.46130138293006</v>
      </c>
      <c r="J3" s="35">
        <f>SUM(H3:H48)</f>
        <v>1160.1871933595255</v>
      </c>
      <c r="K3" s="36">
        <f>AVERAGE(H3:H48)</f>
        <v>25.221460725207077</v>
      </c>
      <c r="L3" s="27">
        <f>COUNTIF(F3,"&lt;"&amp;E3)</f>
        <v>0</v>
      </c>
      <c r="M3" s="33">
        <f>SUM(L3:L38)/COUNTIF(L3:L48,"&gt;"&amp;0)</f>
        <v>5.177777777777778</v>
      </c>
      <c r="N3" s="33">
        <f>MAX(L3:L48)</f>
        <v>15</v>
      </c>
      <c r="O3" s="18">
        <f>G3-E3</f>
        <v>3.9416231512083781</v>
      </c>
      <c r="P3" s="32">
        <f>AVERAGE(O3:O48)</f>
        <v>28.716547968923198</v>
      </c>
      <c r="Q3" s="32">
        <f>MAX(O3:O48)</f>
        <v>53.041722625005548</v>
      </c>
      <c r="R3" s="37">
        <f>COUNTIF(H3:H48,"&lt;&gt;"&amp;0)/COUNT(H3:H48)</f>
        <v>0.97826086956521741</v>
      </c>
      <c r="S3" s="27">
        <v>0</v>
      </c>
      <c r="T3" s="27">
        <f t="shared" ref="T3:T27" si="0">COUNTIF($E$3:$E$48,"&lt;"&amp;S3)</f>
        <v>0</v>
      </c>
      <c r="U3" s="27">
        <v>0</v>
      </c>
      <c r="V3" s="9">
        <f t="shared" ref="V3:V27" si="1">COUNTIF($G$3:$G$48,"&lt;"&amp;U3)</f>
        <v>0</v>
      </c>
    </row>
    <row r="4" spans="2:22" ht="15.75" thickBot="1" x14ac:dyDescent="0.3">
      <c r="B4" s="12">
        <f>1+B3</f>
        <v>2</v>
      </c>
      <c r="C4" s="15">
        <v>1.7378871748326095</v>
      </c>
      <c r="D4" s="18">
        <v>3.5539089034798064</v>
      </c>
      <c r="E4" s="20">
        <f>E3+C4</f>
        <v>2.5881106650657895</v>
      </c>
      <c r="F4" s="20">
        <f>MAX(G3,E4)</f>
        <v>4.7918466414415581</v>
      </c>
      <c r="G4" s="20">
        <f t="shared" ref="G4:G48" si="2">F4+D4</f>
        <v>8.3457555449213636</v>
      </c>
      <c r="H4" s="18">
        <f t="shared" ref="H4:H48" si="3">F4-E4</f>
        <v>2.2037359763757687</v>
      </c>
      <c r="I4" s="22"/>
      <c r="J4" s="22"/>
      <c r="K4" s="24"/>
      <c r="L4" s="27">
        <f>COUNTIF($F$3:F4,"&gt;"&amp;E4)</f>
        <v>1</v>
      </c>
      <c r="M4" s="34">
        <f>COUNTIF(L3:L48,"&gt;"&amp;0)</f>
        <v>45</v>
      </c>
      <c r="N4" s="27"/>
      <c r="O4" s="18">
        <f t="shared" ref="O4:O48" si="4">G4-E4</f>
        <v>5.7576448798555742</v>
      </c>
      <c r="P4" s="2"/>
      <c r="R4" s="24"/>
      <c r="S4" s="27">
        <v>5</v>
      </c>
      <c r="T4" s="27">
        <f t="shared" si="0"/>
        <v>2</v>
      </c>
      <c r="U4" s="27">
        <v>5</v>
      </c>
      <c r="V4" s="9">
        <f t="shared" si="1"/>
        <v>1</v>
      </c>
    </row>
    <row r="5" spans="2:22" x14ac:dyDescent="0.25">
      <c r="B5" s="12">
        <f t="shared" ref="B5:B69" si="5">1+B4</f>
        <v>3</v>
      </c>
      <c r="C5" s="15">
        <v>3.2926706474678364</v>
      </c>
      <c r="D5" s="18">
        <v>3.4140692818561575</v>
      </c>
      <c r="E5" s="20">
        <f t="shared" ref="E5:E69" si="6">E4+C5</f>
        <v>5.8807813125336263</v>
      </c>
      <c r="F5" s="20">
        <f t="shared" ref="F5:F48" si="7">MAX(G4,E5)</f>
        <v>8.3457555449213636</v>
      </c>
      <c r="G5" s="20">
        <f t="shared" si="2"/>
        <v>11.759824826777521</v>
      </c>
      <c r="H5" s="18">
        <f t="shared" si="3"/>
        <v>2.4649742323877373</v>
      </c>
      <c r="I5" s="22"/>
      <c r="J5" s="22"/>
      <c r="K5" s="24"/>
      <c r="L5" s="27">
        <f>COUNTIF($F$3:F5,"&gt;"&amp;E5)</f>
        <v>1</v>
      </c>
      <c r="M5" s="22"/>
      <c r="N5" s="27"/>
      <c r="O5" s="18">
        <f t="shared" si="4"/>
        <v>5.8790435142438948</v>
      </c>
      <c r="P5" s="2"/>
      <c r="R5" s="24"/>
      <c r="S5" s="27">
        <v>10</v>
      </c>
      <c r="T5" s="27">
        <f t="shared" si="0"/>
        <v>3</v>
      </c>
      <c r="U5" s="27">
        <v>10</v>
      </c>
      <c r="V5" s="9">
        <f t="shared" si="1"/>
        <v>2</v>
      </c>
    </row>
    <row r="6" spans="2:22" x14ac:dyDescent="0.25">
      <c r="B6" s="12">
        <f t="shared" si="5"/>
        <v>4</v>
      </c>
      <c r="C6" s="15">
        <v>4.688916767288009</v>
      </c>
      <c r="D6" s="18">
        <v>4.3703520873833579</v>
      </c>
      <c r="E6" s="20">
        <f t="shared" si="6"/>
        <v>10.569698079821634</v>
      </c>
      <c r="F6" s="20">
        <f t="shared" si="7"/>
        <v>11.759824826777521</v>
      </c>
      <c r="G6" s="20">
        <f t="shared" si="2"/>
        <v>16.130176914160877</v>
      </c>
      <c r="H6" s="18">
        <f t="shared" si="3"/>
        <v>1.1901267469558867</v>
      </c>
      <c r="I6" s="22"/>
      <c r="J6" s="22"/>
      <c r="K6" s="24"/>
      <c r="L6" s="27">
        <f>COUNTIF($F$3:F6,"&gt;"&amp;E6)</f>
        <v>1</v>
      </c>
      <c r="M6" s="22"/>
      <c r="N6" s="27"/>
      <c r="O6" s="18">
        <f t="shared" si="4"/>
        <v>5.5604788343392428</v>
      </c>
      <c r="P6" s="2"/>
      <c r="R6" s="24"/>
      <c r="S6" s="27">
        <v>15</v>
      </c>
      <c r="T6" s="27">
        <f t="shared" si="0"/>
        <v>7</v>
      </c>
      <c r="U6" s="27">
        <v>15</v>
      </c>
      <c r="V6" s="9">
        <f t="shared" si="1"/>
        <v>3</v>
      </c>
    </row>
    <row r="7" spans="2:22" x14ac:dyDescent="0.25">
      <c r="B7" s="12">
        <f t="shared" si="5"/>
        <v>5</v>
      </c>
      <c r="C7" s="15">
        <v>2.2877714999011887E-2</v>
      </c>
      <c r="D7" s="18">
        <v>4.165397249074692</v>
      </c>
      <c r="E7" s="20">
        <f t="shared" si="6"/>
        <v>10.592575794820647</v>
      </c>
      <c r="F7" s="20">
        <f t="shared" si="7"/>
        <v>16.130176914160877</v>
      </c>
      <c r="G7" s="20">
        <f t="shared" si="2"/>
        <v>20.295574163235571</v>
      </c>
      <c r="H7" s="18">
        <f t="shared" si="3"/>
        <v>5.5376011193402306</v>
      </c>
      <c r="I7" s="22"/>
      <c r="J7" s="22"/>
      <c r="K7" s="24"/>
      <c r="L7" s="27">
        <f>COUNTIF($F$3:F7,"&gt;"&amp;E7)</f>
        <v>2</v>
      </c>
      <c r="M7" s="22"/>
      <c r="N7" s="27"/>
      <c r="O7" s="18">
        <f t="shared" si="4"/>
        <v>9.7029983684149244</v>
      </c>
      <c r="P7" s="2"/>
      <c r="R7" s="24"/>
      <c r="S7" s="27">
        <v>20</v>
      </c>
      <c r="T7" s="27">
        <f t="shared" si="0"/>
        <v>10</v>
      </c>
      <c r="U7" s="27">
        <v>20</v>
      </c>
      <c r="V7" s="9">
        <f t="shared" si="1"/>
        <v>4</v>
      </c>
    </row>
    <row r="8" spans="2:22" x14ac:dyDescent="0.25">
      <c r="B8" s="12">
        <f t="shared" si="5"/>
        <v>6</v>
      </c>
      <c r="C8" s="15">
        <v>2.6981098831701709</v>
      </c>
      <c r="D8" s="18">
        <v>4.4687373776770993</v>
      </c>
      <c r="E8" s="20">
        <f t="shared" si="6"/>
        <v>13.290685677990817</v>
      </c>
      <c r="F8" s="20">
        <f t="shared" si="7"/>
        <v>20.295574163235571</v>
      </c>
      <c r="G8" s="20">
        <f t="shared" si="2"/>
        <v>24.764311540912672</v>
      </c>
      <c r="H8" s="18">
        <f t="shared" si="3"/>
        <v>7.0048884852447539</v>
      </c>
      <c r="I8" s="22"/>
      <c r="J8" s="22"/>
      <c r="K8" s="24"/>
      <c r="L8" s="27">
        <f>COUNTIF($F$3:F8,"&gt;"&amp;E8)</f>
        <v>2</v>
      </c>
      <c r="M8" s="22"/>
      <c r="N8" s="27"/>
      <c r="O8" s="18">
        <f t="shared" si="4"/>
        <v>11.473625862921855</v>
      </c>
      <c r="P8" s="2"/>
      <c r="R8" s="24"/>
      <c r="S8" s="27">
        <v>25</v>
      </c>
      <c r="T8" s="27">
        <f t="shared" si="0"/>
        <v>11</v>
      </c>
      <c r="U8" s="27">
        <v>25</v>
      </c>
      <c r="V8" s="9">
        <f t="shared" si="1"/>
        <v>6</v>
      </c>
    </row>
    <row r="9" spans="2:22" x14ac:dyDescent="0.25">
      <c r="B9" s="12">
        <f t="shared" si="5"/>
        <v>7</v>
      </c>
      <c r="C9" s="15">
        <v>1.1124099552076199</v>
      </c>
      <c r="D9" s="18">
        <v>4.4542450944819425</v>
      </c>
      <c r="E9" s="20">
        <f t="shared" si="6"/>
        <v>14.403095633198436</v>
      </c>
      <c r="F9" s="20">
        <f t="shared" si="7"/>
        <v>24.764311540912672</v>
      </c>
      <c r="G9" s="20">
        <f t="shared" si="2"/>
        <v>29.218556635394613</v>
      </c>
      <c r="H9" s="18">
        <f t="shared" si="3"/>
        <v>10.361215907714236</v>
      </c>
      <c r="I9" s="22"/>
      <c r="J9" s="22"/>
      <c r="K9" s="24"/>
      <c r="L9" s="27">
        <f>COUNTIF($F$3:F9,"&gt;"&amp;E9)</f>
        <v>3</v>
      </c>
      <c r="M9" s="22"/>
      <c r="N9" s="27"/>
      <c r="O9" s="18">
        <f t="shared" si="4"/>
        <v>14.815461002196177</v>
      </c>
      <c r="P9" s="2"/>
      <c r="R9" s="24"/>
      <c r="S9" s="27">
        <v>30</v>
      </c>
      <c r="T9" s="27">
        <f t="shared" si="0"/>
        <v>13</v>
      </c>
      <c r="U9" s="27">
        <v>30</v>
      </c>
      <c r="V9" s="9">
        <f t="shared" si="1"/>
        <v>7</v>
      </c>
    </row>
    <row r="10" spans="2:22" x14ac:dyDescent="0.25">
      <c r="B10" s="12">
        <f t="shared" si="5"/>
        <v>8</v>
      </c>
      <c r="C10" s="15">
        <v>0.77026495009949159</v>
      </c>
      <c r="D10" s="18">
        <v>4.1225657796076609</v>
      </c>
      <c r="E10" s="20">
        <f t="shared" si="6"/>
        <v>15.173360583297928</v>
      </c>
      <c r="F10" s="20">
        <f t="shared" si="7"/>
        <v>29.218556635394613</v>
      </c>
      <c r="G10" s="20">
        <f t="shared" si="2"/>
        <v>33.341122415002275</v>
      </c>
      <c r="H10" s="18">
        <f t="shared" si="3"/>
        <v>14.045196052096685</v>
      </c>
      <c r="I10" s="22"/>
      <c r="J10" s="22"/>
      <c r="K10" s="24"/>
      <c r="L10" s="27">
        <f>COUNTIF($F$3:F10,"&gt;"&amp;E10)</f>
        <v>4</v>
      </c>
      <c r="M10" s="22"/>
      <c r="N10" s="27"/>
      <c r="O10" s="18">
        <f t="shared" si="4"/>
        <v>18.167761831704347</v>
      </c>
      <c r="P10" s="2"/>
      <c r="R10" s="24"/>
      <c r="S10" s="27">
        <v>35</v>
      </c>
      <c r="T10" s="27">
        <f t="shared" si="0"/>
        <v>15</v>
      </c>
      <c r="U10" s="27">
        <v>35</v>
      </c>
      <c r="V10" s="9">
        <f t="shared" si="1"/>
        <v>8</v>
      </c>
    </row>
    <row r="11" spans="2:22" x14ac:dyDescent="0.25">
      <c r="B11" s="12">
        <f t="shared" si="5"/>
        <v>9</v>
      </c>
      <c r="C11" s="15">
        <v>2.7686167790575795</v>
      </c>
      <c r="D11" s="18">
        <v>2.8544380536775273</v>
      </c>
      <c r="E11" s="20">
        <f t="shared" si="6"/>
        <v>17.941977362355509</v>
      </c>
      <c r="F11" s="20">
        <f t="shared" si="7"/>
        <v>33.341122415002275</v>
      </c>
      <c r="G11" s="20">
        <f t="shared" si="2"/>
        <v>36.195560468679801</v>
      </c>
      <c r="H11" s="18">
        <f t="shared" si="3"/>
        <v>15.399145052646766</v>
      </c>
      <c r="I11" s="22"/>
      <c r="J11" s="22"/>
      <c r="K11" s="24"/>
      <c r="L11" s="27">
        <f>COUNTIF($F$3:F11,"&gt;"&amp;E11)</f>
        <v>4</v>
      </c>
      <c r="M11" s="22"/>
      <c r="N11" s="27"/>
      <c r="O11" s="18">
        <f t="shared" si="4"/>
        <v>18.253583106324292</v>
      </c>
      <c r="P11" s="2"/>
      <c r="R11" s="24"/>
      <c r="S11" s="27">
        <v>40</v>
      </c>
      <c r="T11" s="27">
        <f t="shared" si="0"/>
        <v>18</v>
      </c>
      <c r="U11" s="27">
        <v>40</v>
      </c>
      <c r="V11" s="9">
        <f t="shared" si="1"/>
        <v>10</v>
      </c>
    </row>
    <row r="12" spans="2:22" x14ac:dyDescent="0.25">
      <c r="B12" s="12">
        <f t="shared" si="5"/>
        <v>10</v>
      </c>
      <c r="C12" s="15">
        <v>6.0719883436422969E-2</v>
      </c>
      <c r="D12" s="18">
        <v>2.8836998952593338</v>
      </c>
      <c r="E12" s="20">
        <f t="shared" si="6"/>
        <v>18.002697245791932</v>
      </c>
      <c r="F12" s="20">
        <f t="shared" si="7"/>
        <v>36.195560468679801</v>
      </c>
      <c r="G12" s="20">
        <f t="shared" si="2"/>
        <v>39.079260363939134</v>
      </c>
      <c r="H12" s="18">
        <f t="shared" si="3"/>
        <v>18.192863222887869</v>
      </c>
      <c r="I12" s="22"/>
      <c r="J12" s="22"/>
      <c r="K12" s="24"/>
      <c r="L12" s="27">
        <f>COUNTIF($F$3:F12,"&gt;"&amp;E12)</f>
        <v>5</v>
      </c>
      <c r="M12" s="22"/>
      <c r="N12" s="27"/>
      <c r="O12" s="18">
        <f t="shared" si="4"/>
        <v>21.076563118147202</v>
      </c>
      <c r="P12" s="2"/>
      <c r="R12" s="24"/>
      <c r="S12" s="27">
        <v>45</v>
      </c>
      <c r="T12" s="27">
        <f t="shared" si="0"/>
        <v>19</v>
      </c>
      <c r="U12" s="27">
        <v>45</v>
      </c>
      <c r="V12" s="9">
        <f t="shared" si="1"/>
        <v>11</v>
      </c>
    </row>
    <row r="13" spans="2:22" x14ac:dyDescent="0.25">
      <c r="B13" s="12">
        <f t="shared" si="5"/>
        <v>11</v>
      </c>
      <c r="C13" s="15">
        <v>4.9594455684788219</v>
      </c>
      <c r="D13" s="18">
        <v>2.6250493816009786</v>
      </c>
      <c r="E13" s="20">
        <f t="shared" si="6"/>
        <v>22.962142814270756</v>
      </c>
      <c r="F13" s="20">
        <f t="shared" si="7"/>
        <v>39.079260363939134</v>
      </c>
      <c r="G13" s="20">
        <f t="shared" si="2"/>
        <v>41.704309745540115</v>
      </c>
      <c r="H13" s="18">
        <f t="shared" si="3"/>
        <v>16.117117549668379</v>
      </c>
      <c r="I13" s="22"/>
      <c r="J13" s="22"/>
      <c r="K13" s="24"/>
      <c r="L13" s="27">
        <f>COUNTIF($F$3:F13,"&gt;"&amp;E13)</f>
        <v>5</v>
      </c>
      <c r="M13" s="22"/>
      <c r="N13" s="27"/>
      <c r="O13" s="18">
        <f t="shared" si="4"/>
        <v>18.74216693126936</v>
      </c>
      <c r="P13" s="2"/>
      <c r="R13" s="24"/>
      <c r="S13" s="27">
        <v>50</v>
      </c>
      <c r="T13" s="27">
        <f t="shared" si="0"/>
        <v>21</v>
      </c>
      <c r="U13" s="27">
        <v>50</v>
      </c>
      <c r="V13" s="9">
        <f t="shared" si="1"/>
        <v>13</v>
      </c>
    </row>
    <row r="14" spans="2:22" x14ac:dyDescent="0.25">
      <c r="B14" s="12">
        <f t="shared" si="5"/>
        <v>12</v>
      </c>
      <c r="C14" s="15">
        <v>3.793407667302183</v>
      </c>
      <c r="D14" s="18">
        <v>3.5121876327819299</v>
      </c>
      <c r="E14" s="20">
        <f t="shared" si="6"/>
        <v>26.755550481572939</v>
      </c>
      <c r="F14" s="20">
        <f t="shared" si="7"/>
        <v>41.704309745540115</v>
      </c>
      <c r="G14" s="20">
        <f t="shared" si="2"/>
        <v>45.216497378322046</v>
      </c>
      <c r="H14" s="18">
        <f t="shared" si="3"/>
        <v>14.948759263967176</v>
      </c>
      <c r="I14" s="22"/>
      <c r="J14" s="22"/>
      <c r="K14" s="24"/>
      <c r="L14" s="27">
        <f>COUNTIF($F$3:F14,"&gt;"&amp;E14)</f>
        <v>5</v>
      </c>
      <c r="M14" s="22"/>
      <c r="N14" s="27"/>
      <c r="O14" s="18">
        <f t="shared" si="4"/>
        <v>18.460946896749107</v>
      </c>
      <c r="P14" s="2"/>
      <c r="R14" s="24"/>
      <c r="S14" s="27">
        <v>55</v>
      </c>
      <c r="T14" s="27">
        <f t="shared" si="0"/>
        <v>21</v>
      </c>
      <c r="U14" s="27">
        <v>55</v>
      </c>
      <c r="V14" s="9">
        <f t="shared" si="1"/>
        <v>14</v>
      </c>
    </row>
    <row r="15" spans="2:22" x14ac:dyDescent="0.25">
      <c r="B15" s="12">
        <f t="shared" si="5"/>
        <v>13</v>
      </c>
      <c r="C15" s="15">
        <v>1.1585482795917088</v>
      </c>
      <c r="D15" s="18">
        <v>3.0561996678033583</v>
      </c>
      <c r="E15" s="20">
        <f t="shared" si="6"/>
        <v>27.914098761164649</v>
      </c>
      <c r="F15" s="20">
        <f t="shared" si="7"/>
        <v>45.216497378322046</v>
      </c>
      <c r="G15" s="20">
        <f t="shared" si="2"/>
        <v>48.272697046125401</v>
      </c>
      <c r="H15" s="18">
        <f t="shared" si="3"/>
        <v>17.302398617157397</v>
      </c>
      <c r="I15" s="22"/>
      <c r="J15" s="22"/>
      <c r="K15" s="24"/>
      <c r="L15" s="27">
        <f>COUNTIF($F$3:F15,"&gt;"&amp;E15)</f>
        <v>6</v>
      </c>
      <c r="M15" s="22"/>
      <c r="N15" s="27"/>
      <c r="O15" s="18">
        <f t="shared" si="4"/>
        <v>20.358598284960753</v>
      </c>
      <c r="P15" s="2"/>
      <c r="R15" s="24"/>
      <c r="S15" s="27">
        <v>60</v>
      </c>
      <c r="T15" s="27">
        <f t="shared" si="0"/>
        <v>24</v>
      </c>
      <c r="U15" s="27">
        <v>60</v>
      </c>
      <c r="V15" s="9">
        <f t="shared" si="1"/>
        <v>16</v>
      </c>
    </row>
    <row r="16" spans="2:22" x14ac:dyDescent="0.25">
      <c r="B16" s="12">
        <f t="shared" si="5"/>
        <v>14</v>
      </c>
      <c r="C16" s="15">
        <v>4.7827559573733582</v>
      </c>
      <c r="D16" s="18">
        <v>3.7230539694122271</v>
      </c>
      <c r="E16" s="20">
        <f t="shared" si="6"/>
        <v>32.696854718538006</v>
      </c>
      <c r="F16" s="20">
        <f t="shared" si="7"/>
        <v>48.272697046125401</v>
      </c>
      <c r="G16" s="20">
        <f t="shared" si="2"/>
        <v>51.995751015537628</v>
      </c>
      <c r="H16" s="18">
        <f t="shared" si="3"/>
        <v>15.575842327587395</v>
      </c>
      <c r="I16" s="22"/>
      <c r="J16" s="22"/>
      <c r="K16" s="24"/>
      <c r="L16" s="27">
        <f>COUNTIF($F$3:F16,"&gt;"&amp;E16)</f>
        <v>6</v>
      </c>
      <c r="M16" s="22"/>
      <c r="N16" s="27"/>
      <c r="O16" s="18">
        <f t="shared" si="4"/>
        <v>19.298896296999622</v>
      </c>
      <c r="P16" s="2"/>
      <c r="R16" s="24"/>
      <c r="S16" s="27">
        <v>65</v>
      </c>
      <c r="T16" s="27">
        <f t="shared" si="0"/>
        <v>26</v>
      </c>
      <c r="U16" s="27">
        <v>65</v>
      </c>
      <c r="V16" s="9">
        <f t="shared" si="1"/>
        <v>17</v>
      </c>
    </row>
    <row r="17" spans="2:22" x14ac:dyDescent="0.25">
      <c r="B17" s="12">
        <f t="shared" si="5"/>
        <v>15</v>
      </c>
      <c r="C17" s="15">
        <v>1.5216657879319291</v>
      </c>
      <c r="D17" s="18">
        <v>4.409048707405864</v>
      </c>
      <c r="E17" s="20">
        <f t="shared" si="6"/>
        <v>34.218520506469936</v>
      </c>
      <c r="F17" s="20">
        <f t="shared" si="7"/>
        <v>51.995751015537628</v>
      </c>
      <c r="G17" s="20">
        <f t="shared" si="2"/>
        <v>56.404799722943494</v>
      </c>
      <c r="H17" s="18">
        <f t="shared" si="3"/>
        <v>17.777230509067692</v>
      </c>
      <c r="I17" s="22"/>
      <c r="J17" s="22"/>
      <c r="K17" s="24"/>
      <c r="L17" s="27">
        <f>COUNTIF($F$3:F17,"&gt;"&amp;E17)</f>
        <v>6</v>
      </c>
      <c r="M17" s="22"/>
      <c r="N17" s="27"/>
      <c r="O17" s="18">
        <f t="shared" si="4"/>
        <v>22.186279216473558</v>
      </c>
      <c r="P17" s="2"/>
      <c r="R17" s="24"/>
      <c r="S17" s="27">
        <v>70</v>
      </c>
      <c r="T17" s="27">
        <f t="shared" si="0"/>
        <v>29</v>
      </c>
      <c r="U17" s="27">
        <v>70</v>
      </c>
      <c r="V17" s="9">
        <f t="shared" si="1"/>
        <v>19</v>
      </c>
    </row>
    <row r="18" spans="2:22" x14ac:dyDescent="0.25">
      <c r="B18" s="12">
        <f t="shared" si="5"/>
        <v>16</v>
      </c>
      <c r="C18" s="15">
        <v>2.6022344750271595</v>
      </c>
      <c r="D18" s="18">
        <v>2.9561272959594591</v>
      </c>
      <c r="E18" s="20">
        <f t="shared" si="6"/>
        <v>36.820754981497096</v>
      </c>
      <c r="F18" s="20">
        <f t="shared" si="7"/>
        <v>56.404799722943494</v>
      </c>
      <c r="G18" s="20">
        <f t="shared" si="2"/>
        <v>59.360927018902956</v>
      </c>
      <c r="H18" s="18">
        <f t="shared" si="3"/>
        <v>19.584044741446398</v>
      </c>
      <c r="I18" s="22"/>
      <c r="J18" s="22"/>
      <c r="K18" s="24"/>
      <c r="L18" s="27">
        <f>COUNTIF($F$3:F18,"&gt;"&amp;E18)</f>
        <v>6</v>
      </c>
      <c r="M18" s="22"/>
      <c r="N18" s="27"/>
      <c r="O18" s="18">
        <f t="shared" si="4"/>
        <v>22.54017203740586</v>
      </c>
      <c r="P18" s="2"/>
      <c r="R18" s="24"/>
      <c r="S18" s="27">
        <v>75</v>
      </c>
      <c r="T18" s="27">
        <f t="shared" si="0"/>
        <v>32</v>
      </c>
      <c r="U18" s="27">
        <v>75</v>
      </c>
      <c r="V18" s="9">
        <f t="shared" si="1"/>
        <v>21</v>
      </c>
    </row>
    <row r="19" spans="2:22" x14ac:dyDescent="0.25">
      <c r="B19" s="12">
        <f t="shared" si="5"/>
        <v>17</v>
      </c>
      <c r="C19" s="15">
        <v>8.9103711305223682E-2</v>
      </c>
      <c r="D19" s="18">
        <v>3.0037038224669397</v>
      </c>
      <c r="E19" s="20">
        <f t="shared" si="6"/>
        <v>36.909858692802317</v>
      </c>
      <c r="F19" s="20">
        <f t="shared" si="7"/>
        <v>59.360927018902956</v>
      </c>
      <c r="G19" s="20">
        <f t="shared" si="2"/>
        <v>62.364630841369895</v>
      </c>
      <c r="H19" s="18">
        <f t="shared" si="3"/>
        <v>22.451068326100639</v>
      </c>
      <c r="I19" s="22"/>
      <c r="J19" s="22"/>
      <c r="K19" s="24"/>
      <c r="L19" s="27">
        <f>COUNTIF($F$3:F19,"&gt;"&amp;E19)</f>
        <v>7</v>
      </c>
      <c r="M19" s="22"/>
      <c r="N19" s="27"/>
      <c r="O19" s="18">
        <f t="shared" si="4"/>
        <v>25.454772148567578</v>
      </c>
      <c r="P19" s="2"/>
      <c r="R19" s="24"/>
      <c r="S19" s="27">
        <v>80</v>
      </c>
      <c r="T19" s="27">
        <f t="shared" si="0"/>
        <v>34</v>
      </c>
      <c r="U19" s="27">
        <v>80</v>
      </c>
      <c r="V19" s="9">
        <f t="shared" si="1"/>
        <v>22</v>
      </c>
    </row>
    <row r="20" spans="2:22" x14ac:dyDescent="0.25">
      <c r="B20" s="12">
        <f t="shared" si="5"/>
        <v>18</v>
      </c>
      <c r="C20" s="15">
        <v>1.5651944528128046</v>
      </c>
      <c r="D20" s="18">
        <v>4.3486777874652409</v>
      </c>
      <c r="E20" s="20">
        <f t="shared" si="6"/>
        <v>38.475053145615121</v>
      </c>
      <c r="F20" s="20">
        <f t="shared" si="7"/>
        <v>62.364630841369895</v>
      </c>
      <c r="G20" s="20">
        <f t="shared" si="2"/>
        <v>66.713308628835136</v>
      </c>
      <c r="H20" s="18">
        <f t="shared" si="3"/>
        <v>23.889577695754774</v>
      </c>
      <c r="I20" s="22"/>
      <c r="J20" s="22"/>
      <c r="K20" s="24"/>
      <c r="L20" s="27">
        <f>COUNTIF($F$3:F20,"&gt;"&amp;E20)</f>
        <v>8</v>
      </c>
      <c r="M20" s="22"/>
      <c r="N20" s="27"/>
      <c r="O20" s="18">
        <f t="shared" si="4"/>
        <v>28.238255483220016</v>
      </c>
      <c r="P20" s="2"/>
      <c r="R20" s="24"/>
      <c r="S20" s="27">
        <v>85</v>
      </c>
      <c r="T20" s="27">
        <f t="shared" si="0"/>
        <v>37</v>
      </c>
      <c r="U20" s="27">
        <v>85</v>
      </c>
      <c r="V20" s="9">
        <f t="shared" si="1"/>
        <v>23</v>
      </c>
    </row>
    <row r="21" spans="2:22" x14ac:dyDescent="0.25">
      <c r="B21" s="12">
        <f t="shared" si="5"/>
        <v>19</v>
      </c>
      <c r="C21" s="15">
        <v>2.4614180578863802</v>
      </c>
      <c r="D21" s="18">
        <v>2.527462924081314</v>
      </c>
      <c r="E21" s="20">
        <f t="shared" si="6"/>
        <v>40.936471203501497</v>
      </c>
      <c r="F21" s="20">
        <f t="shared" si="7"/>
        <v>66.713308628835136</v>
      </c>
      <c r="G21" s="20">
        <f t="shared" si="2"/>
        <v>69.240771552916456</v>
      </c>
      <c r="H21" s="18">
        <f t="shared" si="3"/>
        <v>25.776837425333639</v>
      </c>
      <c r="I21" s="22"/>
      <c r="J21" s="22"/>
      <c r="K21" s="24"/>
      <c r="L21" s="27">
        <f>COUNTIF($F$3:F21,"&gt;"&amp;E21)</f>
        <v>8</v>
      </c>
      <c r="M21" s="22"/>
      <c r="N21" s="27"/>
      <c r="O21" s="18">
        <f t="shared" si="4"/>
        <v>28.304300349414959</v>
      </c>
      <c r="P21" s="2"/>
      <c r="R21" s="24"/>
      <c r="S21" s="27">
        <v>90</v>
      </c>
      <c r="T21" s="27">
        <f t="shared" si="0"/>
        <v>38</v>
      </c>
      <c r="U21" s="27">
        <v>90</v>
      </c>
      <c r="V21" s="9">
        <f t="shared" si="1"/>
        <v>25</v>
      </c>
    </row>
    <row r="22" spans="2:22" x14ac:dyDescent="0.25">
      <c r="B22" s="12">
        <f t="shared" si="5"/>
        <v>20</v>
      </c>
      <c r="C22" s="15">
        <v>5.6772329954017566</v>
      </c>
      <c r="D22" s="18">
        <v>2.6643254823271985</v>
      </c>
      <c r="E22" s="20">
        <f t="shared" si="6"/>
        <v>46.613704198903257</v>
      </c>
      <c r="F22" s="20">
        <f t="shared" si="7"/>
        <v>69.240771552916456</v>
      </c>
      <c r="G22" s="20">
        <f t="shared" si="2"/>
        <v>71.905097035243656</v>
      </c>
      <c r="H22" s="18">
        <f t="shared" si="3"/>
        <v>22.627067354013199</v>
      </c>
      <c r="I22" s="22"/>
      <c r="J22" s="22"/>
      <c r="K22" s="24"/>
      <c r="L22" s="27">
        <f>COUNTIF($F$3:F22,"&gt;"&amp;E22)</f>
        <v>7</v>
      </c>
      <c r="M22" s="22"/>
      <c r="N22" s="27"/>
      <c r="O22" s="18">
        <f t="shared" si="4"/>
        <v>25.2913928363404</v>
      </c>
      <c r="P22" s="2"/>
      <c r="R22" s="24"/>
      <c r="S22" s="27">
        <v>95</v>
      </c>
      <c r="T22" s="27">
        <f t="shared" si="0"/>
        <v>39</v>
      </c>
      <c r="U22" s="27">
        <v>95</v>
      </c>
      <c r="V22" s="9">
        <f t="shared" si="1"/>
        <v>26</v>
      </c>
    </row>
    <row r="23" spans="2:22" x14ac:dyDescent="0.25">
      <c r="B23" s="12">
        <f t="shared" si="5"/>
        <v>21</v>
      </c>
      <c r="C23" s="15">
        <v>0.806057013555458</v>
      </c>
      <c r="D23" s="18">
        <v>2.5056927556536852</v>
      </c>
      <c r="E23" s="20">
        <f t="shared" si="6"/>
        <v>47.419761212458717</v>
      </c>
      <c r="F23" s="20">
        <f t="shared" si="7"/>
        <v>71.905097035243656</v>
      </c>
      <c r="G23" s="20">
        <f t="shared" si="2"/>
        <v>74.41078979089734</v>
      </c>
      <c r="H23" s="18">
        <f t="shared" si="3"/>
        <v>24.48533582278494</v>
      </c>
      <c r="I23" s="22"/>
      <c r="J23" s="22"/>
      <c r="K23" s="24"/>
      <c r="L23" s="27">
        <f>COUNTIF($F$3:F23,"&gt;"&amp;E23)</f>
        <v>8</v>
      </c>
      <c r="M23" s="22"/>
      <c r="N23" s="27"/>
      <c r="O23" s="18">
        <f t="shared" si="4"/>
        <v>26.991028578438623</v>
      </c>
      <c r="P23" s="2"/>
      <c r="R23" s="24"/>
      <c r="S23" s="27">
        <v>100</v>
      </c>
      <c r="T23" s="27">
        <f t="shared" si="0"/>
        <v>43</v>
      </c>
      <c r="U23" s="27">
        <v>100</v>
      </c>
      <c r="V23" s="9">
        <f t="shared" si="1"/>
        <v>28</v>
      </c>
    </row>
    <row r="24" spans="2:22" x14ac:dyDescent="0.25">
      <c r="B24" s="12">
        <f t="shared" si="5"/>
        <v>22</v>
      </c>
      <c r="C24" s="15">
        <v>9.022109896716394</v>
      </c>
      <c r="D24" s="18">
        <v>3.8089323366010124</v>
      </c>
      <c r="E24" s="20">
        <f t="shared" si="6"/>
        <v>56.441871109175111</v>
      </c>
      <c r="F24" s="20">
        <f t="shared" si="7"/>
        <v>74.41078979089734</v>
      </c>
      <c r="G24" s="20">
        <f t="shared" si="2"/>
        <v>78.219722127498358</v>
      </c>
      <c r="H24" s="18">
        <f t="shared" si="3"/>
        <v>17.968918681722229</v>
      </c>
      <c r="I24" s="22"/>
      <c r="J24" s="22"/>
      <c r="K24" s="24"/>
      <c r="L24" s="27">
        <f>COUNTIF($F$3:F24,"&gt;"&amp;E24)</f>
        <v>6</v>
      </c>
      <c r="M24" s="22"/>
      <c r="N24" s="27"/>
      <c r="O24" s="18">
        <f t="shared" si="4"/>
        <v>21.777851018323247</v>
      </c>
      <c r="P24" s="2"/>
      <c r="R24" s="24"/>
      <c r="S24" s="27">
        <v>105</v>
      </c>
      <c r="T24" s="27">
        <f t="shared" si="0"/>
        <v>44</v>
      </c>
      <c r="U24" s="27">
        <v>105</v>
      </c>
      <c r="V24" s="9">
        <f t="shared" si="1"/>
        <v>29</v>
      </c>
    </row>
    <row r="25" spans="2:22" x14ac:dyDescent="0.25">
      <c r="B25" s="12">
        <f t="shared" si="5"/>
        <v>23</v>
      </c>
      <c r="C25" s="15">
        <v>1.7602422978558496</v>
      </c>
      <c r="D25" s="18">
        <v>3.3581080437256317</v>
      </c>
      <c r="E25" s="20">
        <f t="shared" si="6"/>
        <v>58.202113407030957</v>
      </c>
      <c r="F25" s="20">
        <f t="shared" si="7"/>
        <v>78.219722127498358</v>
      </c>
      <c r="G25" s="20">
        <f t="shared" si="2"/>
        <v>81.577830171223994</v>
      </c>
      <c r="H25" s="18">
        <f t="shared" si="3"/>
        <v>20.0176087204674</v>
      </c>
      <c r="I25" s="22"/>
      <c r="J25" s="22"/>
      <c r="K25" s="24"/>
      <c r="L25" s="27">
        <f>COUNTIF($F$3:F25,"&gt;"&amp;E25)</f>
        <v>7</v>
      </c>
      <c r="M25" s="22"/>
      <c r="N25" s="27"/>
      <c r="O25" s="18">
        <f t="shared" si="4"/>
        <v>23.375716764193037</v>
      </c>
      <c r="P25" s="2"/>
      <c r="R25" s="24"/>
      <c r="S25" s="27">
        <v>110</v>
      </c>
      <c r="T25" s="27">
        <f t="shared" si="0"/>
        <v>45</v>
      </c>
      <c r="U25" s="27">
        <v>110</v>
      </c>
      <c r="V25" s="9">
        <f t="shared" si="1"/>
        <v>31</v>
      </c>
    </row>
    <row r="26" spans="2:22" x14ac:dyDescent="0.25">
      <c r="B26" s="12">
        <f t="shared" si="5"/>
        <v>24</v>
      </c>
      <c r="C26" s="15">
        <v>1.5846351211079044</v>
      </c>
      <c r="D26" s="18">
        <v>4.3907616542185863</v>
      </c>
      <c r="E26" s="20">
        <f t="shared" si="6"/>
        <v>59.786748528138858</v>
      </c>
      <c r="F26" s="20">
        <f t="shared" si="7"/>
        <v>81.577830171223994</v>
      </c>
      <c r="G26" s="20">
        <f t="shared" si="2"/>
        <v>85.968591825442587</v>
      </c>
      <c r="H26" s="18">
        <f t="shared" si="3"/>
        <v>21.791081643085136</v>
      </c>
      <c r="I26" s="22"/>
      <c r="J26" s="22"/>
      <c r="K26" s="24"/>
      <c r="L26" s="27">
        <f>COUNTIF($F$3:F26,"&gt;"&amp;E26)</f>
        <v>7</v>
      </c>
      <c r="M26" s="22"/>
      <c r="N26" s="27"/>
      <c r="O26" s="18">
        <f t="shared" si="4"/>
        <v>26.181843297303729</v>
      </c>
      <c r="P26" s="2"/>
      <c r="R26" s="24"/>
      <c r="S26" s="27">
        <v>115</v>
      </c>
      <c r="T26" s="27">
        <f t="shared" si="0"/>
        <v>45</v>
      </c>
      <c r="U26" s="27">
        <v>115</v>
      </c>
      <c r="V26" s="9">
        <f t="shared" si="1"/>
        <v>33</v>
      </c>
    </row>
    <row r="27" spans="2:22" ht="15.75" thickBot="1" x14ac:dyDescent="0.3">
      <c r="B27" s="12">
        <f t="shared" si="5"/>
        <v>25</v>
      </c>
      <c r="C27" s="15">
        <v>3.3987483122699187</v>
      </c>
      <c r="D27" s="18">
        <v>2.5312049289798817</v>
      </c>
      <c r="E27" s="20">
        <f t="shared" si="6"/>
        <v>63.185496840408774</v>
      </c>
      <c r="F27" s="20">
        <f t="shared" si="7"/>
        <v>85.968591825442587</v>
      </c>
      <c r="G27" s="20">
        <f t="shared" si="2"/>
        <v>88.499796754422462</v>
      </c>
      <c r="H27" s="18">
        <f t="shared" si="3"/>
        <v>22.783094985033813</v>
      </c>
      <c r="I27" s="22"/>
      <c r="J27" s="22"/>
      <c r="K27" s="24"/>
      <c r="L27" s="27">
        <f>COUNTIF($F$3:F27,"&gt;"&amp;E27)</f>
        <v>7</v>
      </c>
      <c r="M27" s="22"/>
      <c r="N27" s="27"/>
      <c r="O27" s="18">
        <f t="shared" si="4"/>
        <v>25.314299914013688</v>
      </c>
      <c r="P27" s="5"/>
      <c r="Q27" s="6"/>
      <c r="R27" s="26"/>
      <c r="S27" s="28">
        <v>120</v>
      </c>
      <c r="T27" s="28">
        <f t="shared" si="0"/>
        <v>46</v>
      </c>
      <c r="U27" s="28">
        <v>120</v>
      </c>
      <c r="V27" s="10">
        <f t="shared" si="1"/>
        <v>34</v>
      </c>
    </row>
    <row r="28" spans="2:22" ht="15.75" thickTop="1" x14ac:dyDescent="0.25">
      <c r="B28" s="12">
        <f t="shared" si="5"/>
        <v>26</v>
      </c>
      <c r="C28" s="15">
        <v>1.1338574949174354</v>
      </c>
      <c r="D28" s="18">
        <v>3.8265376657443766</v>
      </c>
      <c r="E28" s="20">
        <f t="shared" si="6"/>
        <v>64.31935433532621</v>
      </c>
      <c r="F28" s="20">
        <f t="shared" si="7"/>
        <v>88.499796754422462</v>
      </c>
      <c r="G28" s="20">
        <f t="shared" si="2"/>
        <v>92.326334420166845</v>
      </c>
      <c r="H28" s="18">
        <f t="shared" si="3"/>
        <v>24.180442419096252</v>
      </c>
      <c r="I28" s="22"/>
      <c r="J28" s="22"/>
      <c r="K28" s="24"/>
      <c r="L28" s="27">
        <f>COUNTIF($F$3:F28,"&gt;"&amp;E28)</f>
        <v>8</v>
      </c>
      <c r="M28" s="22"/>
      <c r="N28" s="27"/>
      <c r="O28" s="7">
        <f t="shared" si="4"/>
        <v>28.006980084840635</v>
      </c>
      <c r="P28" s="2"/>
    </row>
    <row r="29" spans="2:22" x14ac:dyDescent="0.25">
      <c r="B29" s="12">
        <f t="shared" si="5"/>
        <v>27</v>
      </c>
      <c r="C29" s="15">
        <v>1.5264234843881994</v>
      </c>
      <c r="D29" s="18">
        <v>3.4028117500807764</v>
      </c>
      <c r="E29" s="20">
        <f t="shared" si="6"/>
        <v>65.845777819714414</v>
      </c>
      <c r="F29" s="20">
        <f t="shared" si="7"/>
        <v>92.326334420166845</v>
      </c>
      <c r="G29" s="20">
        <f t="shared" si="2"/>
        <v>95.729146170247617</v>
      </c>
      <c r="H29" s="18">
        <f t="shared" si="3"/>
        <v>26.480556600452431</v>
      </c>
      <c r="I29" s="22"/>
      <c r="J29" s="22"/>
      <c r="K29" s="24"/>
      <c r="L29" s="27">
        <f>COUNTIF($F$3:F29,"&gt;"&amp;E29)</f>
        <v>9</v>
      </c>
      <c r="M29" s="22"/>
      <c r="N29" s="27"/>
      <c r="O29" s="7">
        <f t="shared" si="4"/>
        <v>29.883368350533203</v>
      </c>
      <c r="P29" s="2"/>
    </row>
    <row r="30" spans="2:22" x14ac:dyDescent="0.25">
      <c r="B30" s="12">
        <f t="shared" si="5"/>
        <v>28</v>
      </c>
      <c r="C30" s="15">
        <v>1.0165692658272594</v>
      </c>
      <c r="D30" s="18">
        <v>3.7438362925756445</v>
      </c>
      <c r="E30" s="20">
        <f t="shared" si="6"/>
        <v>66.862347085541671</v>
      </c>
      <c r="F30" s="20">
        <f t="shared" si="7"/>
        <v>95.729146170247617</v>
      </c>
      <c r="G30" s="20">
        <f t="shared" si="2"/>
        <v>99.472982462823268</v>
      </c>
      <c r="H30" s="18">
        <f t="shared" si="3"/>
        <v>28.866799084705946</v>
      </c>
      <c r="I30" s="22"/>
      <c r="J30" s="22"/>
      <c r="K30" s="24"/>
      <c r="L30" s="27">
        <f>COUNTIF($F$3:F30,"&gt;"&amp;E30)</f>
        <v>9</v>
      </c>
      <c r="M30" s="22"/>
      <c r="N30" s="27"/>
      <c r="O30" s="7">
        <f t="shared" si="4"/>
        <v>32.610635377281596</v>
      </c>
      <c r="P30" s="2"/>
    </row>
    <row r="31" spans="2:22" x14ac:dyDescent="0.25">
      <c r="B31" s="12">
        <f t="shared" si="5"/>
        <v>29</v>
      </c>
      <c r="C31" s="15">
        <v>1.1599139584903293</v>
      </c>
      <c r="D31" s="18">
        <v>2.9852102846341686</v>
      </c>
      <c r="E31" s="20">
        <f t="shared" si="6"/>
        <v>68.022261044032007</v>
      </c>
      <c r="F31" s="20">
        <f t="shared" si="7"/>
        <v>99.472982462823268</v>
      </c>
      <c r="G31" s="20">
        <f t="shared" si="2"/>
        <v>102.45819274745743</v>
      </c>
      <c r="H31" s="18">
        <f t="shared" si="3"/>
        <v>31.450721418791261</v>
      </c>
      <c r="I31" s="22"/>
      <c r="J31" s="22"/>
      <c r="K31" s="24"/>
      <c r="L31" s="27">
        <f>COUNTIF($F$3:F31,"&gt;"&amp;E31)</f>
        <v>10</v>
      </c>
      <c r="M31" s="22"/>
      <c r="N31" s="27"/>
      <c r="O31" s="7">
        <f t="shared" si="4"/>
        <v>34.435931703425425</v>
      </c>
      <c r="P31" s="2"/>
    </row>
    <row r="32" spans="2:22" x14ac:dyDescent="0.25">
      <c r="B32" s="12">
        <f t="shared" si="5"/>
        <v>30</v>
      </c>
      <c r="C32" s="15">
        <v>5.1003994906249277</v>
      </c>
      <c r="D32" s="18">
        <v>2.9510853811319899</v>
      </c>
      <c r="E32" s="20">
        <f t="shared" si="6"/>
        <v>73.12266053465693</v>
      </c>
      <c r="F32" s="20">
        <f t="shared" si="7"/>
        <v>102.45819274745743</v>
      </c>
      <c r="G32" s="20">
        <f t="shared" si="2"/>
        <v>105.40927812858942</v>
      </c>
      <c r="H32" s="18">
        <f t="shared" si="3"/>
        <v>29.335532212800501</v>
      </c>
      <c r="I32" s="22"/>
      <c r="J32" s="22"/>
      <c r="K32" s="24"/>
      <c r="L32" s="27">
        <f>COUNTIF($F$3:F32,"&gt;"&amp;E32)</f>
        <v>9</v>
      </c>
      <c r="M32" s="22"/>
      <c r="N32" s="27"/>
      <c r="O32" s="7">
        <f t="shared" si="4"/>
        <v>32.28661759393249</v>
      </c>
      <c r="P32" s="2"/>
    </row>
    <row r="33" spans="2:16" x14ac:dyDescent="0.25">
      <c r="B33" s="12">
        <f t="shared" si="5"/>
        <v>31</v>
      </c>
      <c r="C33" s="15">
        <v>4.9502280856705265E-2</v>
      </c>
      <c r="D33" s="18">
        <v>2.8744551815678756</v>
      </c>
      <c r="E33" s="20">
        <f t="shared" si="6"/>
        <v>73.17216281551363</v>
      </c>
      <c r="F33" s="20">
        <f t="shared" si="7"/>
        <v>105.40927812858942</v>
      </c>
      <c r="G33" s="20">
        <f t="shared" si="2"/>
        <v>108.2837333101573</v>
      </c>
      <c r="H33" s="18">
        <f t="shared" si="3"/>
        <v>32.23711531307579</v>
      </c>
      <c r="I33" s="22"/>
      <c r="J33" s="22"/>
      <c r="K33" s="24"/>
      <c r="L33" s="27">
        <f>COUNTIF($F$3:F33,"&gt;"&amp;E33)</f>
        <v>10</v>
      </c>
      <c r="M33" s="22"/>
      <c r="N33" s="27"/>
      <c r="O33" s="7">
        <f t="shared" si="4"/>
        <v>35.111570494643672</v>
      </c>
      <c r="P33" s="2"/>
    </row>
    <row r="34" spans="2:16" x14ac:dyDescent="0.25">
      <c r="B34" s="12">
        <f t="shared" si="5"/>
        <v>32</v>
      </c>
      <c r="C34" s="15">
        <v>1.8141438247597939</v>
      </c>
      <c r="D34" s="18">
        <v>3.2365412513806513</v>
      </c>
      <c r="E34" s="20">
        <f t="shared" si="6"/>
        <v>74.986306640273426</v>
      </c>
      <c r="F34" s="20">
        <f t="shared" si="7"/>
        <v>108.2837333101573</v>
      </c>
      <c r="G34" s="20">
        <f t="shared" si="2"/>
        <v>111.52027456153796</v>
      </c>
      <c r="H34" s="18">
        <f t="shared" si="3"/>
        <v>33.297426669883876</v>
      </c>
      <c r="I34" s="22"/>
      <c r="J34" s="22"/>
      <c r="K34" s="24"/>
      <c r="L34" s="27">
        <f>COUNTIF($F$3:F34,"&gt;"&amp;E34)</f>
        <v>10</v>
      </c>
      <c r="M34" s="22"/>
      <c r="N34" s="27"/>
      <c r="O34" s="7">
        <f t="shared" si="4"/>
        <v>36.533967921264534</v>
      </c>
      <c r="P34" s="2"/>
    </row>
    <row r="35" spans="2:16" x14ac:dyDescent="0.25">
      <c r="B35" s="12">
        <f t="shared" si="5"/>
        <v>33</v>
      </c>
      <c r="C35" s="15">
        <v>0.39398480339785369</v>
      </c>
      <c r="D35" s="18">
        <v>3.4623457778708988</v>
      </c>
      <c r="E35" s="20">
        <f t="shared" si="6"/>
        <v>75.380291443671283</v>
      </c>
      <c r="F35" s="20">
        <f t="shared" si="7"/>
        <v>111.52027456153796</v>
      </c>
      <c r="G35" s="20">
        <f t="shared" si="2"/>
        <v>114.98262033940885</v>
      </c>
      <c r="H35" s="18">
        <f t="shared" si="3"/>
        <v>36.139983117866677</v>
      </c>
      <c r="I35" s="22"/>
      <c r="J35" s="22"/>
      <c r="K35" s="24"/>
      <c r="L35" s="27">
        <f>COUNTIF($F$3:F35,"&gt;"&amp;E35)</f>
        <v>11</v>
      </c>
      <c r="M35" s="22"/>
      <c r="N35" s="27"/>
      <c r="O35" s="7">
        <f t="shared" si="4"/>
        <v>39.602328895737571</v>
      </c>
      <c r="P35" s="2"/>
    </row>
    <row r="36" spans="2:16" x14ac:dyDescent="0.25">
      <c r="B36" s="12">
        <f t="shared" si="5"/>
        <v>34</v>
      </c>
      <c r="C36" s="15">
        <v>2.8157114259047575</v>
      </c>
      <c r="D36" s="18">
        <v>3.1699228365820638</v>
      </c>
      <c r="E36" s="20">
        <f t="shared" si="6"/>
        <v>78.196002869576034</v>
      </c>
      <c r="F36" s="20">
        <f t="shared" si="7"/>
        <v>114.98262033940885</v>
      </c>
      <c r="G36" s="20">
        <f t="shared" si="2"/>
        <v>118.15254317599091</v>
      </c>
      <c r="H36" s="18">
        <f t="shared" si="3"/>
        <v>36.786617469832819</v>
      </c>
      <c r="I36" s="22"/>
      <c r="J36" s="22"/>
      <c r="K36" s="24"/>
      <c r="L36" s="27">
        <f>COUNTIF($F$3:F36,"&gt;"&amp;E36)</f>
        <v>12</v>
      </c>
      <c r="M36" s="22"/>
      <c r="N36" s="27"/>
      <c r="O36" s="7">
        <f t="shared" si="4"/>
        <v>39.95654030641488</v>
      </c>
      <c r="P36" s="2"/>
    </row>
    <row r="37" spans="2:16" x14ac:dyDescent="0.25">
      <c r="B37" s="12">
        <f t="shared" si="5"/>
        <v>35</v>
      </c>
      <c r="C37" s="15">
        <v>5.7528792625873617</v>
      </c>
      <c r="D37" s="18">
        <v>2.2566506606068102</v>
      </c>
      <c r="E37" s="20">
        <f t="shared" si="6"/>
        <v>83.948882132163391</v>
      </c>
      <c r="F37" s="20">
        <f t="shared" si="7"/>
        <v>118.15254317599091</v>
      </c>
      <c r="G37" s="20">
        <f t="shared" si="2"/>
        <v>120.40919383659772</v>
      </c>
      <c r="H37" s="18">
        <f t="shared" si="3"/>
        <v>34.203661043827523</v>
      </c>
      <c r="I37" s="22"/>
      <c r="J37" s="22"/>
      <c r="K37" s="24"/>
      <c r="L37" s="27">
        <f>COUNTIF($F$3:F37,"&gt;"&amp;E37)</f>
        <v>11</v>
      </c>
      <c r="M37" s="22"/>
      <c r="N37" s="27"/>
      <c r="O37" s="7">
        <f t="shared" si="4"/>
        <v>36.460311704434332</v>
      </c>
      <c r="P37" s="2"/>
    </row>
    <row r="38" spans="2:16" x14ac:dyDescent="0.25">
      <c r="B38" s="12">
        <f t="shared" si="5"/>
        <v>36</v>
      </c>
      <c r="C38" s="15">
        <v>0.12627477706644341</v>
      </c>
      <c r="D38" s="18">
        <v>3.9338161329948109</v>
      </c>
      <c r="E38" s="20">
        <f t="shared" si="6"/>
        <v>84.075156909229833</v>
      </c>
      <c r="F38" s="20">
        <f t="shared" si="7"/>
        <v>120.40919383659772</v>
      </c>
      <c r="G38" s="20">
        <f t="shared" si="2"/>
        <v>124.34300996959253</v>
      </c>
      <c r="H38" s="18">
        <f t="shared" si="3"/>
        <v>36.33403692736789</v>
      </c>
      <c r="I38" s="22"/>
      <c r="J38" s="22"/>
      <c r="K38" s="24"/>
      <c r="L38" s="27">
        <f>COUNTIF($F$3:F38,"&gt;"&amp;E38)</f>
        <v>12</v>
      </c>
      <c r="M38" s="22"/>
      <c r="N38" s="27"/>
      <c r="O38" s="7">
        <f t="shared" si="4"/>
        <v>40.267853060362697</v>
      </c>
      <c r="P38" s="2"/>
    </row>
    <row r="39" spans="2:16" x14ac:dyDescent="0.25">
      <c r="B39" s="12">
        <f t="shared" si="5"/>
        <v>37</v>
      </c>
      <c r="C39" s="15">
        <v>0.29100045230543736</v>
      </c>
      <c r="D39" s="18">
        <v>3.2941374683855615</v>
      </c>
      <c r="E39" s="20">
        <f t="shared" si="6"/>
        <v>84.366157361535272</v>
      </c>
      <c r="F39" s="20">
        <f t="shared" si="7"/>
        <v>124.34300996959253</v>
      </c>
      <c r="G39" s="20">
        <f t="shared" si="2"/>
        <v>127.63714743797809</v>
      </c>
      <c r="H39" s="18">
        <f t="shared" si="3"/>
        <v>39.976852608057257</v>
      </c>
      <c r="I39" s="22"/>
      <c r="J39" s="22"/>
      <c r="K39" s="24"/>
      <c r="L39" s="27">
        <f>COUNTIF($F$3:F39,"&gt;"&amp;E39)</f>
        <v>13</v>
      </c>
      <c r="M39" s="22"/>
      <c r="N39" s="27"/>
      <c r="O39" s="7">
        <f t="shared" si="4"/>
        <v>43.270990076442814</v>
      </c>
      <c r="P39" s="2"/>
    </row>
    <row r="40" spans="2:16" x14ac:dyDescent="0.25">
      <c r="B40" s="12">
        <f t="shared" si="5"/>
        <v>38</v>
      </c>
      <c r="C40" s="15">
        <v>4.4871475783164989</v>
      </c>
      <c r="D40" s="18">
        <v>3.7500478915896123</v>
      </c>
      <c r="E40" s="20">
        <f t="shared" si="6"/>
        <v>88.853304939851768</v>
      </c>
      <c r="F40" s="20">
        <f t="shared" si="7"/>
        <v>127.63714743797809</v>
      </c>
      <c r="G40" s="20">
        <f t="shared" si="2"/>
        <v>131.3871953295677</v>
      </c>
      <c r="H40" s="18">
        <f t="shared" si="3"/>
        <v>38.783842498126319</v>
      </c>
      <c r="I40" s="22"/>
      <c r="J40" s="22"/>
      <c r="K40" s="24"/>
      <c r="L40" s="27">
        <f>COUNTIF($F$3:F40,"&gt;"&amp;E40)</f>
        <v>12</v>
      </c>
      <c r="M40" s="22"/>
      <c r="N40" s="27"/>
      <c r="O40" s="7">
        <f t="shared" si="4"/>
        <v>42.533890389715935</v>
      </c>
      <c r="P40" s="2"/>
    </row>
    <row r="41" spans="2:16" x14ac:dyDescent="0.25">
      <c r="B41" s="12">
        <f t="shared" si="5"/>
        <v>39</v>
      </c>
      <c r="C41" s="15">
        <v>1.6122412913224859</v>
      </c>
      <c r="D41" s="18">
        <v>4.0150407404881285</v>
      </c>
      <c r="E41" s="20">
        <f t="shared" si="6"/>
        <v>90.465546231174258</v>
      </c>
      <c r="F41" s="20">
        <f t="shared" si="7"/>
        <v>131.3871953295677</v>
      </c>
      <c r="G41" s="20">
        <f t="shared" si="2"/>
        <v>135.40223607005584</v>
      </c>
      <c r="H41" s="18">
        <f t="shared" si="3"/>
        <v>40.921649098393445</v>
      </c>
      <c r="I41" s="22"/>
      <c r="J41" s="22"/>
      <c r="K41" s="24"/>
      <c r="L41" s="27">
        <f>COUNTIF($F$3:F41,"&gt;"&amp;E41)</f>
        <v>13</v>
      </c>
      <c r="M41" s="22"/>
      <c r="N41" s="27"/>
      <c r="O41" s="7">
        <f t="shared" si="4"/>
        <v>44.936689838881577</v>
      </c>
      <c r="P41" s="2"/>
    </row>
    <row r="42" spans="2:16" x14ac:dyDescent="0.25">
      <c r="B42" s="12">
        <f t="shared" si="5"/>
        <v>40</v>
      </c>
      <c r="C42" s="15">
        <v>4.895425307020135</v>
      </c>
      <c r="D42" s="18">
        <v>3.3027792882412701</v>
      </c>
      <c r="E42" s="20">
        <f t="shared" si="6"/>
        <v>95.360971538194391</v>
      </c>
      <c r="F42" s="20">
        <f t="shared" si="7"/>
        <v>135.40223607005584</v>
      </c>
      <c r="G42" s="20">
        <f t="shared" si="2"/>
        <v>138.70501535829712</v>
      </c>
      <c r="H42" s="18">
        <f t="shared" si="3"/>
        <v>40.041264531861444</v>
      </c>
      <c r="I42" s="22"/>
      <c r="J42" s="22"/>
      <c r="K42" s="24"/>
      <c r="L42" s="27">
        <f>COUNTIF($F$3:F42,"&gt;"&amp;E42)</f>
        <v>13</v>
      </c>
      <c r="M42" s="22"/>
      <c r="N42" s="27"/>
      <c r="O42" s="7">
        <f t="shared" si="4"/>
        <v>43.344043820102726</v>
      </c>
      <c r="P42" s="2"/>
    </row>
    <row r="43" spans="2:16" x14ac:dyDescent="0.25">
      <c r="B43" s="12">
        <f t="shared" si="5"/>
        <v>41</v>
      </c>
      <c r="C43" s="15">
        <v>1.6470709290591907</v>
      </c>
      <c r="D43" s="18">
        <v>4.3970400442078272</v>
      </c>
      <c r="E43" s="20">
        <f t="shared" si="6"/>
        <v>97.008042467253588</v>
      </c>
      <c r="F43" s="20">
        <f t="shared" si="7"/>
        <v>138.70501535829712</v>
      </c>
      <c r="G43" s="20">
        <f t="shared" si="2"/>
        <v>143.10205540250496</v>
      </c>
      <c r="H43" s="18">
        <f t="shared" si="3"/>
        <v>41.696972891043529</v>
      </c>
      <c r="I43" s="22"/>
      <c r="J43" s="22"/>
      <c r="K43" s="24"/>
      <c r="L43" s="27">
        <f>COUNTIF($F$3:F43,"&gt;"&amp;E43)</f>
        <v>13</v>
      </c>
      <c r="M43" s="22"/>
      <c r="N43" s="27"/>
      <c r="O43" s="7">
        <f t="shared" si="4"/>
        <v>46.094012935251371</v>
      </c>
      <c r="P43" s="2"/>
    </row>
    <row r="44" spans="2:16" x14ac:dyDescent="0.25">
      <c r="B44" s="12">
        <f t="shared" si="5"/>
        <v>42</v>
      </c>
      <c r="C44" s="15">
        <v>0.336554830653995</v>
      </c>
      <c r="D44" s="18">
        <v>3.7111066804547765</v>
      </c>
      <c r="E44" s="20">
        <f t="shared" si="6"/>
        <v>97.344597297907583</v>
      </c>
      <c r="F44" s="20">
        <f t="shared" si="7"/>
        <v>143.10205540250496</v>
      </c>
      <c r="G44" s="20">
        <f t="shared" si="2"/>
        <v>146.81316208295974</v>
      </c>
      <c r="H44" s="18">
        <f t="shared" si="3"/>
        <v>45.757458104597376</v>
      </c>
      <c r="I44" s="22"/>
      <c r="J44" s="22"/>
      <c r="K44" s="24"/>
      <c r="L44" s="27">
        <f>COUNTIF($F$3:F44,"&gt;"&amp;E44)</f>
        <v>14</v>
      </c>
      <c r="M44" s="22"/>
      <c r="N44" s="27"/>
      <c r="O44" s="7">
        <f t="shared" si="4"/>
        <v>49.468564785052152</v>
      </c>
      <c r="P44" s="2"/>
    </row>
    <row r="45" spans="2:16" x14ac:dyDescent="0.25">
      <c r="B45" s="12">
        <f t="shared" si="5"/>
        <v>43</v>
      </c>
      <c r="C45" s="15">
        <v>1.3896546433125316</v>
      </c>
      <c r="D45" s="18">
        <v>4.174126288897142</v>
      </c>
      <c r="E45" s="20">
        <f t="shared" si="6"/>
        <v>98.734251941220109</v>
      </c>
      <c r="F45" s="20">
        <f t="shared" si="7"/>
        <v>146.81316208295974</v>
      </c>
      <c r="G45" s="20">
        <f t="shared" si="2"/>
        <v>150.98728837185689</v>
      </c>
      <c r="H45" s="18">
        <f t="shared" si="3"/>
        <v>48.078910141739627</v>
      </c>
      <c r="I45" s="22"/>
      <c r="J45" s="22"/>
      <c r="K45" s="24"/>
      <c r="L45" s="27">
        <f>COUNTIF($F$3:F45,"&gt;"&amp;E45)</f>
        <v>15</v>
      </c>
      <c r="M45" s="22"/>
      <c r="N45" s="27"/>
      <c r="O45" s="7">
        <f t="shared" si="4"/>
        <v>52.253036430636783</v>
      </c>
      <c r="P45" s="2"/>
    </row>
    <row r="46" spans="2:16" x14ac:dyDescent="0.25">
      <c r="B46" s="12">
        <f t="shared" si="5"/>
        <v>44</v>
      </c>
      <c r="C46" s="15">
        <v>3.7844396894069283</v>
      </c>
      <c r="D46" s="18">
        <v>3.4808114725096608</v>
      </c>
      <c r="E46" s="20">
        <f t="shared" si="6"/>
        <v>102.51869163062703</v>
      </c>
      <c r="F46" s="20">
        <f t="shared" si="7"/>
        <v>150.98728837185689</v>
      </c>
      <c r="G46" s="20">
        <f t="shared" si="2"/>
        <v>154.46809984436655</v>
      </c>
      <c r="H46" s="18">
        <f t="shared" si="3"/>
        <v>48.46859674122986</v>
      </c>
      <c r="I46" s="22"/>
      <c r="J46" s="22"/>
      <c r="K46" s="24"/>
      <c r="L46" s="27">
        <f>COUNTIF($F$3:F46,"&gt;"&amp;E46)</f>
        <v>14</v>
      </c>
      <c r="M46" s="22"/>
      <c r="N46" s="27"/>
      <c r="O46" s="7">
        <f t="shared" si="4"/>
        <v>51.949408213739517</v>
      </c>
      <c r="P46" s="2"/>
    </row>
    <row r="47" spans="2:16" x14ac:dyDescent="0.25">
      <c r="B47" s="12">
        <f t="shared" si="5"/>
        <v>45</v>
      </c>
      <c r="C47" s="15">
        <v>2.4881068308094574</v>
      </c>
      <c r="D47" s="18">
        <v>3.5804212420754862</v>
      </c>
      <c r="E47" s="20">
        <f t="shared" si="6"/>
        <v>105.00679846143649</v>
      </c>
      <c r="F47" s="20">
        <f t="shared" si="7"/>
        <v>154.46809984436655</v>
      </c>
      <c r="G47" s="20">
        <f t="shared" si="2"/>
        <v>158.04852108644204</v>
      </c>
      <c r="H47" s="18">
        <f t="shared" si="3"/>
        <v>49.46130138293006</v>
      </c>
      <c r="I47" s="22"/>
      <c r="J47" s="22"/>
      <c r="K47" s="24"/>
      <c r="L47" s="27">
        <f>COUNTIF($F$3:F47,"&gt;"&amp;E47)</f>
        <v>15</v>
      </c>
      <c r="M47" s="22"/>
      <c r="N47" s="27"/>
      <c r="O47" s="7">
        <f t="shared" si="4"/>
        <v>53.041722625005548</v>
      </c>
      <c r="P47" s="2"/>
    </row>
    <row r="48" spans="2:16" ht="15.75" thickBot="1" x14ac:dyDescent="0.3">
      <c r="B48" s="13">
        <f t="shared" si="5"/>
        <v>46</v>
      </c>
      <c r="C48" s="16">
        <v>14.85</v>
      </c>
      <c r="D48" s="19">
        <v>3.5757156147323013</v>
      </c>
      <c r="E48" s="21">
        <f t="shared" si="6"/>
        <v>119.85679846143648</v>
      </c>
      <c r="F48" s="21">
        <f t="shared" si="7"/>
        <v>158.04852108644204</v>
      </c>
      <c r="G48" s="21">
        <f t="shared" si="2"/>
        <v>161.62423670117434</v>
      </c>
      <c r="H48" s="19">
        <f t="shared" si="3"/>
        <v>38.191722625005553</v>
      </c>
      <c r="I48" s="23"/>
      <c r="J48" s="23"/>
      <c r="K48" s="26"/>
      <c r="L48" s="28">
        <f>COUNTIF($F$3:F48,"&gt;"&amp;E48)</f>
        <v>11</v>
      </c>
      <c r="M48" s="23"/>
      <c r="N48" s="28"/>
      <c r="O48" s="8">
        <f t="shared" si="4"/>
        <v>41.767438239737857</v>
      </c>
      <c r="P48" s="2"/>
    </row>
    <row r="49" spans="2:5" ht="15.75" thickTop="1" x14ac:dyDescent="0.25">
      <c r="B49" s="2"/>
      <c r="C49" s="3"/>
      <c r="D49" s="3"/>
      <c r="E49" s="1"/>
    </row>
    <row r="50" spans="2:5" x14ac:dyDescent="0.25">
      <c r="B50" s="2"/>
      <c r="C50" s="3"/>
      <c r="D50" s="3"/>
      <c r="E50" s="1"/>
    </row>
    <row r="51" spans="2:5" x14ac:dyDescent="0.25">
      <c r="B51" s="2"/>
      <c r="C51" s="3"/>
      <c r="D51" s="3"/>
      <c r="E51" s="1"/>
    </row>
    <row r="52" spans="2:5" x14ac:dyDescent="0.25">
      <c r="B52" s="2"/>
      <c r="C52" s="3"/>
      <c r="D52" s="3"/>
      <c r="E52" s="1"/>
    </row>
    <row r="53" spans="2:5" x14ac:dyDescent="0.25">
      <c r="B53" s="2"/>
      <c r="C53" s="3"/>
      <c r="D53" s="3"/>
      <c r="E53" s="1"/>
    </row>
    <row r="54" spans="2:5" x14ac:dyDescent="0.25">
      <c r="B54" s="2"/>
      <c r="C54" s="3"/>
      <c r="D54" s="3"/>
      <c r="E54" s="1"/>
    </row>
    <row r="55" spans="2:5" x14ac:dyDescent="0.25">
      <c r="B55" s="2"/>
      <c r="C55" s="3"/>
      <c r="D55" s="3"/>
      <c r="E55" s="1"/>
    </row>
    <row r="56" spans="2:5" x14ac:dyDescent="0.25">
      <c r="B56" s="2"/>
      <c r="C56" s="3"/>
      <c r="D56" s="3"/>
      <c r="E56" s="1"/>
    </row>
    <row r="57" spans="2:5" x14ac:dyDescent="0.25">
      <c r="B57" s="2"/>
      <c r="C57" s="3"/>
      <c r="D57" s="3"/>
      <c r="E57" s="1"/>
    </row>
    <row r="58" spans="2:5" x14ac:dyDescent="0.25">
      <c r="B58" s="2"/>
      <c r="C58" s="3"/>
      <c r="D58" s="3"/>
      <c r="E58" s="1"/>
    </row>
    <row r="59" spans="2:5" x14ac:dyDescent="0.25">
      <c r="B59" s="2"/>
      <c r="C59" s="3"/>
      <c r="D59" s="3"/>
      <c r="E59" s="1"/>
    </row>
    <row r="60" spans="2:5" x14ac:dyDescent="0.25">
      <c r="B60" s="2"/>
      <c r="C60" s="3"/>
      <c r="D60" s="3"/>
      <c r="E60" s="1"/>
    </row>
    <row r="61" spans="2:5" x14ac:dyDescent="0.25">
      <c r="B61" s="2"/>
      <c r="C61" s="3"/>
      <c r="D61" s="3"/>
      <c r="E61" s="1"/>
    </row>
    <row r="62" spans="2:5" x14ac:dyDescent="0.25">
      <c r="B62" s="2"/>
      <c r="C62" s="3"/>
      <c r="D62" s="3"/>
      <c r="E62" s="1"/>
    </row>
    <row r="63" spans="2:5" x14ac:dyDescent="0.25">
      <c r="B63" s="2"/>
      <c r="C63" s="3"/>
      <c r="D63" s="3"/>
      <c r="E63" s="1"/>
    </row>
    <row r="64" spans="2:5" x14ac:dyDescent="0.25">
      <c r="B64" s="2"/>
      <c r="C64" s="3"/>
      <c r="D64" s="3"/>
      <c r="E64" s="1"/>
    </row>
    <row r="65" spans="2:5" x14ac:dyDescent="0.25">
      <c r="B65" s="2"/>
      <c r="C65" s="3"/>
      <c r="D65" s="3"/>
      <c r="E65" s="1"/>
    </row>
    <row r="66" spans="2:5" x14ac:dyDescent="0.25">
      <c r="B66" s="2"/>
      <c r="C66" s="3"/>
      <c r="D66" s="3"/>
      <c r="E66" s="1"/>
    </row>
    <row r="67" spans="2:5" x14ac:dyDescent="0.25">
      <c r="B67" s="2"/>
      <c r="C67" s="3"/>
      <c r="D67" s="3"/>
      <c r="E67" s="1"/>
    </row>
    <row r="68" spans="2:5" x14ac:dyDescent="0.25">
      <c r="B68" s="2"/>
      <c r="C68" s="3"/>
      <c r="D68" s="3"/>
      <c r="E68" s="1"/>
    </row>
    <row r="69" spans="2:5" x14ac:dyDescent="0.25">
      <c r="B69" s="2"/>
      <c r="C69" s="3"/>
      <c r="D69" s="3"/>
      <c r="E69" s="1"/>
    </row>
    <row r="70" spans="2:5" x14ac:dyDescent="0.25">
      <c r="B70" s="2"/>
      <c r="C70" s="3"/>
      <c r="D70" s="3"/>
      <c r="E70" s="1"/>
    </row>
    <row r="71" spans="2:5" x14ac:dyDescent="0.25">
      <c r="B71" s="2"/>
      <c r="C71" s="3"/>
      <c r="D71" s="3"/>
      <c r="E71" s="1"/>
    </row>
    <row r="72" spans="2:5" x14ac:dyDescent="0.25">
      <c r="B72" s="2"/>
      <c r="C72" s="3"/>
      <c r="D72" s="3"/>
      <c r="E72" s="1"/>
    </row>
    <row r="73" spans="2:5" x14ac:dyDescent="0.25">
      <c r="B73" s="2"/>
      <c r="C73" s="3"/>
      <c r="D73" s="3"/>
      <c r="E73" s="1"/>
    </row>
    <row r="74" spans="2:5" x14ac:dyDescent="0.25">
      <c r="B74" s="2"/>
      <c r="C74" s="3"/>
      <c r="D74" s="3"/>
      <c r="E74" s="1"/>
    </row>
    <row r="75" spans="2:5" x14ac:dyDescent="0.25">
      <c r="B75" s="2"/>
      <c r="C75" s="3"/>
      <c r="D75" s="3"/>
      <c r="E75" s="1"/>
    </row>
    <row r="76" spans="2:5" x14ac:dyDescent="0.25">
      <c r="B76" s="2"/>
      <c r="C76" s="3"/>
      <c r="D76" s="3"/>
      <c r="E76" s="1"/>
    </row>
    <row r="77" spans="2:5" x14ac:dyDescent="0.25">
      <c r="B77" s="2"/>
      <c r="C77" s="3"/>
      <c r="D77" s="3"/>
      <c r="E77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Subhankar Dey</dc:creator>
  <cp:lastModifiedBy>Subhankar Dey</cp:lastModifiedBy>
  <dcterms:created xsi:type="dcterms:W3CDTF">2018-11-03T00:10:55Z</dcterms:created>
  <dcterms:modified xsi:type="dcterms:W3CDTF">2018-11-04T05:09:46Z</dcterms:modified>
</cp:coreProperties>
</file>